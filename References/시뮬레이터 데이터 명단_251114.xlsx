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연구\TB Segmentation_고대공대\"/>
    </mc:Choice>
  </mc:AlternateContent>
  <xr:revisionPtr revIDLastSave="0" documentId="13_ncr:1_{F4CA46FB-5D4A-41A0-80C0-BEB4C3590BC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고대공대_CWD" sheetId="8" r:id="rId1"/>
    <sheet name="고대공대_ICW" sheetId="10" r:id="rId2"/>
  </sheets>
  <definedNames>
    <definedName name="_xlnm._FilterDatabase" localSheetId="0" hidden="1">고대공대_CWD!$A$4:$KM$4</definedName>
    <definedName name="_xlnm._FilterDatabase" localSheetId="1" hidden="1">고대공대_ICW!$A$4:$KS$30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L34" i="10" l="1"/>
  <c r="KN34" i="10" s="1"/>
  <c r="KK34" i="10"/>
  <c r="KJ34" i="10"/>
  <c r="KI34" i="10"/>
  <c r="KH34" i="10"/>
  <c r="KG34" i="10"/>
  <c r="JQ34" i="10"/>
  <c r="JF34" i="10"/>
  <c r="JH34" i="10" s="1"/>
  <c r="JE34" i="10"/>
  <c r="JD34" i="10"/>
  <c r="JC34" i="10"/>
  <c r="JB34" i="10"/>
  <c r="JA34" i="10"/>
  <c r="IK34" i="10"/>
  <c r="HS34" i="10"/>
  <c r="HV34" i="10" s="1"/>
  <c r="HR34" i="10"/>
  <c r="HQ34" i="10"/>
  <c r="HP34" i="10"/>
  <c r="HO34" i="10"/>
  <c r="HN34" i="10"/>
  <c r="GX34" i="10"/>
  <c r="GM34" i="10"/>
  <c r="GO34" i="10" s="1"/>
  <c r="GL34" i="10"/>
  <c r="GK34" i="10"/>
  <c r="GJ34" i="10"/>
  <c r="GI34" i="10"/>
  <c r="GH34" i="10"/>
  <c r="FR34" i="10"/>
  <c r="FA34" i="10"/>
  <c r="FC34" i="10" s="1"/>
  <c r="EZ34" i="10"/>
  <c r="EY34" i="10"/>
  <c r="EX34" i="10"/>
  <c r="EW34" i="10"/>
  <c r="EV34" i="10"/>
  <c r="EF34" i="10"/>
  <c r="DU34" i="10"/>
  <c r="DW34" i="10" s="1"/>
  <c r="DT34" i="10"/>
  <c r="DS34" i="10"/>
  <c r="DR34" i="10"/>
  <c r="DQ34" i="10"/>
  <c r="DP34" i="10"/>
  <c r="CZ34" i="10"/>
  <c r="Z34" i="10"/>
  <c r="CI34" i="10"/>
  <c r="CK34" i="10" s="1"/>
  <c r="CH34" i="10"/>
  <c r="CG34" i="10"/>
  <c r="CF34" i="10"/>
  <c r="CE34" i="10"/>
  <c r="CD34" i="10"/>
  <c r="BN34" i="10"/>
  <c r="BC34" i="10"/>
  <c r="BE34" i="10" s="1"/>
  <c r="BB34" i="10"/>
  <c r="BA34" i="10"/>
  <c r="AZ34" i="10"/>
  <c r="AY34" i="10"/>
  <c r="AX34" i="10"/>
  <c r="AH34" i="10"/>
  <c r="U34" i="10"/>
  <c r="P34" i="10"/>
  <c r="FJ33" i="10" l="1"/>
  <c r="FJ32" i="10"/>
  <c r="FJ31" i="10"/>
  <c r="Z33" i="10"/>
  <c r="Z32" i="10"/>
  <c r="Z31" i="10"/>
  <c r="U33" i="10"/>
  <c r="U32" i="10"/>
  <c r="U31" i="10"/>
  <c r="U29" i="10"/>
  <c r="U28" i="10"/>
  <c r="U25" i="10"/>
  <c r="U13" i="10"/>
  <c r="P33" i="10"/>
  <c r="P32" i="10"/>
  <c r="P31" i="10"/>
  <c r="P29" i="10"/>
  <c r="P28" i="10"/>
  <c r="P25" i="10"/>
  <c r="P13" i="10"/>
  <c r="U12" i="10"/>
  <c r="P12" i="10"/>
  <c r="KK33" i="10"/>
  <c r="KM33" i="10" s="1"/>
  <c r="KJ33" i="10"/>
  <c r="KI33" i="10"/>
  <c r="KH33" i="10"/>
  <c r="KG33" i="10"/>
  <c r="KF33" i="10"/>
  <c r="JP33" i="10"/>
  <c r="JE33" i="10"/>
  <c r="JG33" i="10" s="1"/>
  <c r="JD33" i="10"/>
  <c r="JC33" i="10"/>
  <c r="JB33" i="10"/>
  <c r="JA33" i="10"/>
  <c r="IZ33" i="10"/>
  <c r="IJ33" i="10"/>
  <c r="HS33" i="10"/>
  <c r="HU33" i="10" s="1"/>
  <c r="HR33" i="10"/>
  <c r="HQ33" i="10"/>
  <c r="HP33" i="10"/>
  <c r="HO33" i="10"/>
  <c r="HN33" i="10"/>
  <c r="GX33" i="10"/>
  <c r="GM33" i="10"/>
  <c r="GO33" i="10" s="1"/>
  <c r="GL33" i="10"/>
  <c r="GK33" i="10"/>
  <c r="GJ33" i="10"/>
  <c r="GI33" i="10"/>
  <c r="GH33" i="10"/>
  <c r="FR33" i="10"/>
  <c r="FA33" i="10"/>
  <c r="FC33" i="10" s="1"/>
  <c r="EZ33" i="10"/>
  <c r="EY33" i="10"/>
  <c r="EX33" i="10"/>
  <c r="EW33" i="10"/>
  <c r="EV33" i="10"/>
  <c r="EF33" i="10"/>
  <c r="DU33" i="10"/>
  <c r="DW33" i="10" s="1"/>
  <c r="DT33" i="10"/>
  <c r="DS33" i="10"/>
  <c r="DR33" i="10"/>
  <c r="DQ33" i="10"/>
  <c r="DP33" i="10"/>
  <c r="CZ33" i="10"/>
  <c r="CI33" i="10"/>
  <c r="CK33" i="10" s="1"/>
  <c r="CH33" i="10"/>
  <c r="CG33" i="10"/>
  <c r="CF33" i="10"/>
  <c r="CE33" i="10"/>
  <c r="CD33" i="10"/>
  <c r="BN33" i="10"/>
  <c r="BC33" i="10"/>
  <c r="BE33" i="10" s="1"/>
  <c r="BB33" i="10"/>
  <c r="BA33" i="10"/>
  <c r="AZ33" i="10"/>
  <c r="AY33" i="10"/>
  <c r="AX33" i="10"/>
  <c r="AH33" i="10"/>
  <c r="KK32" i="10"/>
  <c r="KM32" i="10" s="1"/>
  <c r="KJ32" i="10"/>
  <c r="KI32" i="10"/>
  <c r="KH32" i="10"/>
  <c r="KG32" i="10"/>
  <c r="KF32" i="10"/>
  <c r="JP32" i="10"/>
  <c r="JE32" i="10"/>
  <c r="JG32" i="10" s="1"/>
  <c r="JD32" i="10"/>
  <c r="JC32" i="10"/>
  <c r="JB32" i="10"/>
  <c r="JA32" i="10"/>
  <c r="IZ32" i="10"/>
  <c r="HS32" i="10"/>
  <c r="HU32" i="10" s="1"/>
  <c r="HR32" i="10"/>
  <c r="HQ32" i="10"/>
  <c r="HP32" i="10"/>
  <c r="HO32" i="10"/>
  <c r="HN32" i="10"/>
  <c r="GX32" i="10"/>
  <c r="GM32" i="10"/>
  <c r="GO32" i="10" s="1"/>
  <c r="GL32" i="10"/>
  <c r="GK32" i="10"/>
  <c r="GJ32" i="10"/>
  <c r="GI32" i="10"/>
  <c r="GH32" i="10"/>
  <c r="FR32" i="10"/>
  <c r="FA32" i="10"/>
  <c r="FC32" i="10" s="1"/>
  <c r="EZ32" i="10"/>
  <c r="EY32" i="10"/>
  <c r="EX32" i="10"/>
  <c r="EW32" i="10"/>
  <c r="EV32" i="10"/>
  <c r="EF32" i="10"/>
  <c r="DU32" i="10"/>
  <c r="DW32" i="10" s="1"/>
  <c r="DT32" i="10"/>
  <c r="DS32" i="10"/>
  <c r="DR32" i="10"/>
  <c r="DQ32" i="10"/>
  <c r="DP32" i="10"/>
  <c r="CZ32" i="10"/>
  <c r="CI32" i="10"/>
  <c r="CK32" i="10" s="1"/>
  <c r="CH32" i="10"/>
  <c r="CG32" i="10"/>
  <c r="CF32" i="10"/>
  <c r="CE32" i="10"/>
  <c r="CD32" i="10"/>
  <c r="BN32" i="10"/>
  <c r="BC32" i="10"/>
  <c r="BE32" i="10" s="1"/>
  <c r="BB32" i="10"/>
  <c r="BA32" i="10"/>
  <c r="AZ32" i="10"/>
  <c r="AY32" i="10"/>
  <c r="AX32" i="10"/>
  <c r="AH32" i="10"/>
  <c r="KK31" i="10"/>
  <c r="KM31" i="10" s="1"/>
  <c r="KJ31" i="10"/>
  <c r="KI31" i="10"/>
  <c r="KH31" i="10"/>
  <c r="KG31" i="10"/>
  <c r="KF31" i="10"/>
  <c r="JP31" i="10"/>
  <c r="JE31" i="10"/>
  <c r="JG31" i="10" s="1"/>
  <c r="JD31" i="10"/>
  <c r="JC31" i="10"/>
  <c r="JB31" i="10"/>
  <c r="JA31" i="10"/>
  <c r="IZ31" i="10"/>
  <c r="HS31" i="10"/>
  <c r="HU31" i="10" s="1"/>
  <c r="HR31" i="10"/>
  <c r="HQ31" i="10"/>
  <c r="HP31" i="10"/>
  <c r="HO31" i="10"/>
  <c r="HN31" i="10"/>
  <c r="GX31" i="10"/>
  <c r="GM31" i="10"/>
  <c r="GO31" i="10" s="1"/>
  <c r="GL31" i="10"/>
  <c r="GK31" i="10"/>
  <c r="GJ31" i="10"/>
  <c r="GI31" i="10"/>
  <c r="GH31" i="10"/>
  <c r="FR31" i="10"/>
  <c r="FA31" i="10"/>
  <c r="FC31" i="10" s="1"/>
  <c r="EZ31" i="10"/>
  <c r="EY31" i="10"/>
  <c r="EX31" i="10"/>
  <c r="EW31" i="10"/>
  <c r="EV31" i="10"/>
  <c r="EF31" i="10"/>
  <c r="DU31" i="10"/>
  <c r="DW31" i="10" s="1"/>
  <c r="DT31" i="10"/>
  <c r="DS31" i="10"/>
  <c r="DR31" i="10"/>
  <c r="DQ31" i="10"/>
  <c r="DP31" i="10"/>
  <c r="CZ31" i="10"/>
  <c r="CI31" i="10"/>
  <c r="CK31" i="10" s="1"/>
  <c r="CH31" i="10"/>
  <c r="CG31" i="10"/>
  <c r="CF31" i="10"/>
  <c r="CE31" i="10"/>
  <c r="CD31" i="10"/>
  <c r="BN31" i="10"/>
  <c r="BC31" i="10"/>
  <c r="BE31" i="10" s="1"/>
  <c r="BB31" i="10"/>
  <c r="BA31" i="10"/>
  <c r="AZ31" i="10"/>
  <c r="AY31" i="10"/>
  <c r="AX31" i="10"/>
  <c r="AH31" i="10"/>
  <c r="HT29" i="10" l="1"/>
  <c r="HT28" i="10"/>
  <c r="HT25" i="10"/>
  <c r="HT22" i="10"/>
  <c r="HT20" i="10"/>
  <c r="HT19" i="10"/>
  <c r="HT13" i="10"/>
  <c r="HT12" i="10"/>
  <c r="HT5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IC7" i="10"/>
  <c r="IC5" i="10"/>
  <c r="IC6" i="10"/>
  <c r="IC8" i="10"/>
  <c r="IC9" i="10"/>
  <c r="IC10" i="10"/>
  <c r="IC11" i="10"/>
  <c r="IC12" i="10"/>
  <c r="IC13" i="10"/>
  <c r="IC14" i="10"/>
  <c r="IC15" i="10"/>
  <c r="IC16" i="10"/>
  <c r="IC17" i="10"/>
  <c r="IC18" i="10"/>
  <c r="IC19" i="10"/>
  <c r="IC20" i="10"/>
  <c r="IC21" i="10"/>
  <c r="IC22" i="10"/>
  <c r="IC23" i="10"/>
  <c r="IC24" i="10"/>
  <c r="IC25" i="10"/>
  <c r="IC26" i="10"/>
  <c r="IC27" i="10"/>
  <c r="IC28" i="10"/>
  <c r="IC29" i="10"/>
  <c r="IC30" i="10"/>
  <c r="FJ5" i="10"/>
  <c r="FJ6" i="10"/>
  <c r="FJ7" i="10"/>
  <c r="FJ8" i="10"/>
  <c r="FJ9" i="10"/>
  <c r="FJ10" i="10"/>
  <c r="FJ11" i="10"/>
  <c r="FJ12" i="10"/>
  <c r="FJ13" i="10"/>
  <c r="FJ14" i="10"/>
  <c r="FJ15" i="10"/>
  <c r="FJ16" i="10"/>
  <c r="FJ17" i="10"/>
  <c r="FJ18" i="10"/>
  <c r="FJ19" i="10"/>
  <c r="FJ20" i="10"/>
  <c r="FJ21" i="10"/>
  <c r="FJ22" i="10"/>
  <c r="FJ23" i="10"/>
  <c r="FJ24" i="10"/>
  <c r="FJ25" i="10"/>
  <c r="FJ26" i="10"/>
  <c r="FJ27" i="10"/>
  <c r="FJ28" i="10"/>
  <c r="FJ29" i="10"/>
  <c r="FJ30" i="10"/>
  <c r="CR5" i="10"/>
  <c r="CR6" i="10"/>
  <c r="CR7" i="10"/>
  <c r="CR8" i="10"/>
  <c r="CR9" i="10"/>
  <c r="CR10" i="10"/>
  <c r="CR11" i="10"/>
  <c r="CR12" i="10"/>
  <c r="CR13" i="10"/>
  <c r="CR14" i="10"/>
  <c r="CR15" i="10"/>
  <c r="CR16" i="10"/>
  <c r="CR17" i="10"/>
  <c r="CR18" i="10"/>
  <c r="CR19" i="10"/>
  <c r="CR20" i="10"/>
  <c r="CR21" i="10"/>
  <c r="CR22" i="10"/>
  <c r="CR23" i="10"/>
  <c r="CR24" i="10"/>
  <c r="CR25" i="10"/>
  <c r="CR26" i="10"/>
  <c r="CR27" i="10"/>
  <c r="CR28" i="10"/>
  <c r="CR29" i="10"/>
  <c r="CR30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KL15" i="10"/>
  <c r="KN15" i="10" s="1"/>
  <c r="KK15" i="10"/>
  <c r="KJ15" i="10"/>
  <c r="KI15" i="10"/>
  <c r="KH15" i="10"/>
  <c r="KG15" i="10"/>
  <c r="JQ15" i="10"/>
  <c r="JF15" i="10"/>
  <c r="JH15" i="10" s="1"/>
  <c r="JE15" i="10"/>
  <c r="JD15" i="10"/>
  <c r="JC15" i="10"/>
  <c r="JB15" i="10"/>
  <c r="JA15" i="10"/>
  <c r="IK15" i="10"/>
  <c r="HS15" i="10"/>
  <c r="HV15" i="10" s="1"/>
  <c r="HR15" i="10"/>
  <c r="HQ15" i="10"/>
  <c r="HP15" i="10"/>
  <c r="HO15" i="10"/>
  <c r="HN15" i="10"/>
  <c r="GX15" i="10"/>
  <c r="GM15" i="10"/>
  <c r="GO15" i="10" s="1"/>
  <c r="GL15" i="10"/>
  <c r="GK15" i="10"/>
  <c r="GJ15" i="10"/>
  <c r="GI15" i="10"/>
  <c r="GH15" i="10"/>
  <c r="FR15" i="10"/>
  <c r="FA15" i="10"/>
  <c r="FC15" i="10" s="1"/>
  <c r="EZ15" i="10"/>
  <c r="EY15" i="10"/>
  <c r="EX15" i="10"/>
  <c r="EW15" i="10"/>
  <c r="EV15" i="10"/>
  <c r="EF15" i="10"/>
  <c r="DU15" i="10"/>
  <c r="DW15" i="10" s="1"/>
  <c r="DT15" i="10"/>
  <c r="DS15" i="10"/>
  <c r="DR15" i="10"/>
  <c r="DQ15" i="10"/>
  <c r="DP15" i="10"/>
  <c r="CZ15" i="10"/>
  <c r="CI15" i="10"/>
  <c r="CK15" i="10" s="1"/>
  <c r="CH15" i="10"/>
  <c r="CG15" i="10"/>
  <c r="CF15" i="10"/>
  <c r="CE15" i="10"/>
  <c r="CD15" i="10"/>
  <c r="BN15" i="10"/>
  <c r="BC15" i="10"/>
  <c r="BE15" i="10" s="1"/>
  <c r="BB15" i="10"/>
  <c r="BA15" i="10"/>
  <c r="AZ15" i="10"/>
  <c r="AY15" i="10"/>
  <c r="AX15" i="10"/>
  <c r="AH15" i="10"/>
  <c r="AC24" i="8" l="1"/>
  <c r="AS24" i="8"/>
  <c r="AT24" i="8"/>
  <c r="AU24" i="8"/>
  <c r="AV24" i="8"/>
  <c r="AW24" i="8"/>
  <c r="AX24" i="8"/>
  <c r="AZ24" i="8" s="1"/>
  <c r="BI24" i="8"/>
  <c r="BY24" i="8"/>
  <c r="BZ24" i="8"/>
  <c r="CA24" i="8"/>
  <c r="CB24" i="8"/>
  <c r="CC24" i="8"/>
  <c r="CD24" i="8"/>
  <c r="CF2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kumc</author>
  </authors>
  <commentList>
    <comment ref="CK11" authorId="0" shapeId="0" xr:uid="{B6E8DC94-6FF0-4746-96DB-220473E82B78}">
      <text>
        <r>
          <rPr>
            <b/>
            <sz val="9"/>
            <color indexed="81"/>
            <rFont val="Tahoma"/>
            <family val="2"/>
          </rPr>
          <t xml:space="preserve">kumc:
</t>
        </r>
        <r>
          <rPr>
            <sz val="9"/>
            <color indexed="81"/>
            <rFont val="Tahoma"/>
            <family val="2"/>
          </rPr>
          <t xml:space="preserve">SPEECH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CK12" authorId="0" shapeId="0" xr:uid="{7B1104AC-DB5B-4DA6-A81A-204F35CF1ED6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SPEECH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CI16" authorId="0" shapeId="0" xr:uid="{DAE218E4-9F6A-412B-BFEB-8D0648CFBA84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PTA 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CK37" authorId="0" shapeId="0" xr:uid="{CCBA46C6-DAC8-47B5-9622-547AFE72A901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SPEECH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PS </t>
        </r>
        <r>
          <rPr>
            <sz val="9"/>
            <color indexed="81"/>
            <rFont val="돋움"/>
            <family val="3"/>
            <charset val="129"/>
          </rPr>
          <t>올라가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CL45" authorId="0" shapeId="0" xr:uid="{D93FB999-1B22-4135-B30B-C139F4244566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2023-09-20 PTA </t>
        </r>
        <r>
          <rPr>
            <sz val="9"/>
            <color indexed="81"/>
            <rFont val="돋움"/>
            <family val="3"/>
            <charset val="129"/>
          </rPr>
          <t xml:space="preserve">했음
</t>
        </r>
        <r>
          <rPr>
            <sz val="9"/>
            <color indexed="81"/>
            <rFont val="Tahoma"/>
            <family val="2"/>
          </rPr>
          <t>3, 6, 12M</t>
        </r>
        <r>
          <rPr>
            <sz val="9"/>
            <color indexed="81"/>
            <rFont val="돋움"/>
            <family val="3"/>
            <charset val="129"/>
          </rPr>
          <t>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환자는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수술전</t>
        </r>
        <r>
          <rPr>
            <sz val="9"/>
            <color indexed="81"/>
            <rFont val="Tahoma"/>
            <family val="2"/>
          </rPr>
          <t xml:space="preserve"> PTA </t>
        </r>
        <r>
          <rPr>
            <sz val="9"/>
            <color indexed="81"/>
            <rFont val="돋움"/>
            <family val="3"/>
            <charset val="129"/>
          </rPr>
          <t>시행하고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없고</t>
        </r>
        <r>
          <rPr>
            <sz val="9"/>
            <color indexed="81"/>
            <rFont val="Tahoma"/>
            <family val="2"/>
          </rPr>
          <t>,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시행함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HV51" authorId="0" shapeId="0" xr:uid="{2A14C504-50FA-4D43-85CB-D6B0657806AA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1Y 2M 3W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BB59" authorId="0" shapeId="0" xr:uid="{1DC758C8-5839-4BCF-84BC-B0A8043F5CC7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외국인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발음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</text>
    </comment>
    <comment ref="CI66" authorId="0" shapeId="0" xr:uid="{AA91A4FD-178E-4A9B-A89A-EB6A8309D401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 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FA67" authorId="0" shapeId="0" xr:uid="{DE52F24F-942C-4241-88A1-EA896FAFD67D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PTA3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HU67" authorId="0" shapeId="0" xr:uid="{1130732F-A386-449B-9CE5-18766CE13078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KK67" authorId="0" shapeId="0" xr:uid="{F0EE3412-81B2-4F88-9D2B-C6873F04AF81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kumc</author>
  </authors>
  <commentList>
    <comment ref="FH12" authorId="0" shapeId="0" xr:uid="{0B167A51-B45F-463D-B8CB-60D31034167E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speech</t>
        </r>
      </text>
    </comment>
    <comment ref="FF14" authorId="0" shapeId="0" xr:uid="{E67E012A-0E84-4795-9A33-D62AA92FD8FA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 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HY17" authorId="0" shapeId="0" xr:uid="{7046AA26-4490-481F-B62E-2F65D6555596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 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CN21" authorId="0" shapeId="0" xr:uid="{2B4B305C-1A93-4F17-A26C-9DCD389B6045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PTA 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KQ22" authorId="0" shapeId="0" xr:uid="{5028DD73-31C0-4A29-8A4A-575240C59779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 2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CN25" authorId="0" shapeId="0" xr:uid="{8C7106E0-BF37-49F2-9D8A-A2C4BE4AD910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PTA 3</t>
        </r>
        <r>
          <rPr>
            <sz val="9"/>
            <color indexed="81"/>
            <rFont val="돋움"/>
            <family val="3"/>
            <charset val="129"/>
          </rPr>
          <t>장</t>
        </r>
      </text>
    </comment>
    <comment ref="T28" authorId="0" shapeId="0" xr:uid="{B413AA6C-29C7-411A-8DBA-B4B2B79C3C15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안보임
</t>
        </r>
        <r>
          <rPr>
            <sz val="9"/>
            <color indexed="81"/>
            <rFont val="Tahoma"/>
            <family val="2"/>
          </rPr>
          <t>-&gt;2022-09-14</t>
        </r>
      </text>
    </comment>
    <comment ref="KS29" authorId="0" shapeId="0" xr:uid="{3E54AA75-4320-48C0-8678-2A6C69855725}">
      <text>
        <r>
          <rPr>
            <b/>
            <sz val="9"/>
            <color indexed="81"/>
            <rFont val="Tahoma"/>
            <family val="2"/>
          </rPr>
          <t>kumc:</t>
        </r>
        <r>
          <rPr>
            <sz val="9"/>
            <color indexed="81"/>
            <rFont val="Tahoma"/>
            <family val="2"/>
          </rPr>
          <t xml:space="preserve">
speech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형식이</t>
        </r>
        <r>
          <rPr>
            <sz val="9"/>
            <color indexed="81"/>
            <rFont val="Tahoma"/>
            <family val="2"/>
          </rPr>
          <t xml:space="preserve"> PS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</commentList>
</comments>
</file>

<file path=xl/sharedStrings.xml><?xml version="1.0" encoding="utf-8"?>
<sst xmlns="http://schemas.openxmlformats.org/spreadsheetml/2006/main" count="5531" uniqueCount="987">
  <si>
    <t>수술날짜</t>
    <phoneticPr fontId="1" type="noConversion"/>
  </si>
  <si>
    <t>Chole</t>
  </si>
  <si>
    <t>VS</t>
  </si>
  <si>
    <t>Fistula</t>
  </si>
  <si>
    <t>2021.06.02</t>
    <phoneticPr fontId="1" type="noConversion"/>
  </si>
  <si>
    <t>2021.07.16</t>
    <phoneticPr fontId="1" type="noConversion"/>
  </si>
  <si>
    <t>2021.06.16</t>
    <phoneticPr fontId="1" type="noConversion"/>
  </si>
  <si>
    <t>2021.06.11</t>
    <phoneticPr fontId="1" type="noConversion"/>
  </si>
  <si>
    <t>2021.06.04</t>
    <phoneticPr fontId="1" type="noConversion"/>
  </si>
  <si>
    <t>2021.06.15</t>
    <phoneticPr fontId="1" type="noConversion"/>
  </si>
  <si>
    <t>2021.05.29</t>
    <phoneticPr fontId="1" type="noConversion"/>
  </si>
  <si>
    <t>2021.05.17</t>
    <phoneticPr fontId="1" type="noConversion"/>
  </si>
  <si>
    <t>2020.04.05</t>
    <phoneticPr fontId="1" type="noConversion"/>
  </si>
  <si>
    <t>2020.02.26/ 2020.04.06</t>
    <phoneticPr fontId="1" type="noConversion"/>
  </si>
  <si>
    <t>2016.04.14/ 2017.05.08/ 2018.05.29/ 2019.05.28</t>
    <phoneticPr fontId="1" type="noConversion"/>
  </si>
  <si>
    <t>2020.07.07/ 2020.07.09</t>
    <phoneticPr fontId="1" type="noConversion"/>
  </si>
  <si>
    <t>2021.09.08</t>
    <phoneticPr fontId="1" type="noConversion"/>
  </si>
  <si>
    <t>2021.11.08</t>
    <phoneticPr fontId="1" type="noConversion"/>
  </si>
  <si>
    <t>2021.05.26</t>
    <phoneticPr fontId="1" type="noConversion"/>
  </si>
  <si>
    <t>2021.06.14</t>
    <phoneticPr fontId="1" type="noConversion"/>
  </si>
  <si>
    <t>진단명</t>
    <phoneticPr fontId="1" type="noConversion"/>
  </si>
  <si>
    <t>가명화 파일번호</t>
    <phoneticPr fontId="1" type="noConversion"/>
  </si>
  <si>
    <t>Chole</t>
    <phoneticPr fontId="1" type="noConversion"/>
  </si>
  <si>
    <t>TB, IAC, Posterior fossa MRI, MRI-BRAIN</t>
  </si>
  <si>
    <t>2023.06.27</t>
    <phoneticPr fontId="1" type="noConversion"/>
  </si>
  <si>
    <t>2023.09.15</t>
    <phoneticPr fontId="1" type="noConversion"/>
  </si>
  <si>
    <t>2023.06.01</t>
    <phoneticPr fontId="1" type="noConversion"/>
  </si>
  <si>
    <t>2023.08.02</t>
    <phoneticPr fontId="1" type="noConversion"/>
  </si>
  <si>
    <t>2023.06.02</t>
    <phoneticPr fontId="1" type="noConversion"/>
  </si>
  <si>
    <t>2023.07.31</t>
    <phoneticPr fontId="1" type="noConversion"/>
  </si>
  <si>
    <t>2023.07.11</t>
    <phoneticPr fontId="1" type="noConversion"/>
  </si>
  <si>
    <t>2023.07.06</t>
    <phoneticPr fontId="1" type="noConversion"/>
  </si>
  <si>
    <t>2023.05.13</t>
    <phoneticPr fontId="1" type="noConversion"/>
  </si>
  <si>
    <t>2023.01.25</t>
    <phoneticPr fontId="1" type="noConversion"/>
  </si>
  <si>
    <t>2023.05.24</t>
    <phoneticPr fontId="1" type="noConversion"/>
  </si>
  <si>
    <t>2023.06.21</t>
    <phoneticPr fontId="1" type="noConversion"/>
  </si>
  <si>
    <t>2023.05.08</t>
    <phoneticPr fontId="1" type="noConversion"/>
  </si>
  <si>
    <t>2023.05.06</t>
    <phoneticPr fontId="1" type="noConversion"/>
  </si>
  <si>
    <t>2023.03.15</t>
    <phoneticPr fontId="1" type="noConversion"/>
  </si>
  <si>
    <t>2023.04.12</t>
    <phoneticPr fontId="1" type="noConversion"/>
  </si>
  <si>
    <t>2023.03.27</t>
    <phoneticPr fontId="1" type="noConversion"/>
  </si>
  <si>
    <t>2023.04.04</t>
    <phoneticPr fontId="1" type="noConversion"/>
  </si>
  <si>
    <t>2023.02.06</t>
    <phoneticPr fontId="1" type="noConversion"/>
  </si>
  <si>
    <t>2023.01.11</t>
    <phoneticPr fontId="1" type="noConversion"/>
  </si>
  <si>
    <t>2023.02.01</t>
    <phoneticPr fontId="1" type="noConversion"/>
  </si>
  <si>
    <t>2023.03.01</t>
    <phoneticPr fontId="1" type="noConversion"/>
  </si>
  <si>
    <t>2022.12.12</t>
    <phoneticPr fontId="1" type="noConversion"/>
  </si>
  <si>
    <t>2023.02.13</t>
    <phoneticPr fontId="1" type="noConversion"/>
  </si>
  <si>
    <t>2023.01.17</t>
    <phoneticPr fontId="1" type="noConversion"/>
  </si>
  <si>
    <t>2023.02.15</t>
    <phoneticPr fontId="1" type="noConversion"/>
  </si>
  <si>
    <t>2022.10.13</t>
    <phoneticPr fontId="1" type="noConversion"/>
  </si>
  <si>
    <t>2022.12.26</t>
    <phoneticPr fontId="1" type="noConversion"/>
  </si>
  <si>
    <t>2022.11.26</t>
    <phoneticPr fontId="1" type="noConversion"/>
  </si>
  <si>
    <t>2023.01.18</t>
    <phoneticPr fontId="1" type="noConversion"/>
  </si>
  <si>
    <t>2022.10.07</t>
    <phoneticPr fontId="1" type="noConversion"/>
  </si>
  <si>
    <t>2022.11.29</t>
    <phoneticPr fontId="1" type="noConversion"/>
  </si>
  <si>
    <t>2022.11.08</t>
    <phoneticPr fontId="1" type="noConversion"/>
  </si>
  <si>
    <t>2022.12.19</t>
    <phoneticPr fontId="1" type="noConversion"/>
  </si>
  <si>
    <t>2022.11.01</t>
    <phoneticPr fontId="1" type="noConversion"/>
  </si>
  <si>
    <t>2022.12.21</t>
    <phoneticPr fontId="1" type="noConversion"/>
  </si>
  <si>
    <t>2022.11.02</t>
    <phoneticPr fontId="1" type="noConversion"/>
  </si>
  <si>
    <t>2022.12.01</t>
    <phoneticPr fontId="1" type="noConversion"/>
  </si>
  <si>
    <t>2022.10.25</t>
    <phoneticPr fontId="1" type="noConversion"/>
  </si>
  <si>
    <t>2022.11.17</t>
    <phoneticPr fontId="1" type="noConversion"/>
  </si>
  <si>
    <t>2022.05.26</t>
    <phoneticPr fontId="1" type="noConversion"/>
  </si>
  <si>
    <t>2022.10.12</t>
    <phoneticPr fontId="1" type="noConversion"/>
  </si>
  <si>
    <t>2022.11.21</t>
    <phoneticPr fontId="1" type="noConversion"/>
  </si>
  <si>
    <t>2022.06.21</t>
    <phoneticPr fontId="1" type="noConversion"/>
  </si>
  <si>
    <t>2022.10.21</t>
    <phoneticPr fontId="1" type="noConversion"/>
  </si>
  <si>
    <t>2022.08.27</t>
    <phoneticPr fontId="1" type="noConversion"/>
  </si>
  <si>
    <t>2022.10.10</t>
    <phoneticPr fontId="1" type="noConversion"/>
  </si>
  <si>
    <t>2022.06.30</t>
    <phoneticPr fontId="1" type="noConversion"/>
  </si>
  <si>
    <t>2022.09.20</t>
    <phoneticPr fontId="1" type="noConversion"/>
  </si>
  <si>
    <t>2022.04.25</t>
    <phoneticPr fontId="1" type="noConversion"/>
  </si>
  <si>
    <t>2022.05.12</t>
    <phoneticPr fontId="1" type="noConversion"/>
  </si>
  <si>
    <t>2022.08.01</t>
    <phoneticPr fontId="1" type="noConversion"/>
  </si>
  <si>
    <t>2022.08.16</t>
    <phoneticPr fontId="1" type="noConversion"/>
  </si>
  <si>
    <t>2022.07.27</t>
    <phoneticPr fontId="1" type="noConversion"/>
  </si>
  <si>
    <t>2022.08.08</t>
    <phoneticPr fontId="1" type="noConversion"/>
  </si>
  <si>
    <t>2022.05.30</t>
    <phoneticPr fontId="1" type="noConversion"/>
  </si>
  <si>
    <t>2022.07.18</t>
    <phoneticPr fontId="1" type="noConversion"/>
  </si>
  <si>
    <t>2022.06.22</t>
    <phoneticPr fontId="1" type="noConversion"/>
  </si>
  <si>
    <t>2022.06.03</t>
    <phoneticPr fontId="1" type="noConversion"/>
  </si>
  <si>
    <t>2022.05.18</t>
    <phoneticPr fontId="1" type="noConversion"/>
  </si>
  <si>
    <t>2022.06.08</t>
    <phoneticPr fontId="1" type="noConversion"/>
  </si>
  <si>
    <t>2022.07.13</t>
    <phoneticPr fontId="1" type="noConversion"/>
  </si>
  <si>
    <t>2022.06.27</t>
    <phoneticPr fontId="1" type="noConversion"/>
  </si>
  <si>
    <t>2022.06.29</t>
    <phoneticPr fontId="1" type="noConversion"/>
  </si>
  <si>
    <t>2022.03.31</t>
    <phoneticPr fontId="1" type="noConversion"/>
  </si>
  <si>
    <t>2022.06.20</t>
    <phoneticPr fontId="1" type="noConversion"/>
  </si>
  <si>
    <t>2022.01.04</t>
    <phoneticPr fontId="1" type="noConversion"/>
  </si>
  <si>
    <t>2022.05.02</t>
    <phoneticPr fontId="1" type="noConversion"/>
  </si>
  <si>
    <t>2022.05.23</t>
    <phoneticPr fontId="1" type="noConversion"/>
  </si>
  <si>
    <t>2022.04.18</t>
    <phoneticPr fontId="1" type="noConversion"/>
  </si>
  <si>
    <t>2022.06.01</t>
    <phoneticPr fontId="1" type="noConversion"/>
  </si>
  <si>
    <t>[L]COM c chole</t>
  </si>
  <si>
    <t>[B]COM c chole; [B]OME</t>
  </si>
  <si>
    <t>[L]COM c chole</t>
    <phoneticPr fontId="1" type="noConversion"/>
  </si>
  <si>
    <t>Rt</t>
    <phoneticPr fontId="1" type="noConversion"/>
  </si>
  <si>
    <t>Lt</t>
    <phoneticPr fontId="1" type="noConversion"/>
  </si>
  <si>
    <t>COM, TM Perforation</t>
    <phoneticPr fontId="1" type="noConversion"/>
  </si>
  <si>
    <t>COM c chole/distructinon of Rt ossicular chain and scutum
CT에서 보이던 right middle ear cavity, mastoid antrum 및 air cell등에 soft tissue는 이번 MRI에서도 보임. Ventricle, sulci size 정상임. TM x</t>
    <phoneticPr fontId="1" type="noConversion"/>
  </si>
  <si>
    <t>TM x</t>
    <phoneticPr fontId="1" type="noConversion"/>
  </si>
  <si>
    <t>2022.02.28</t>
    <phoneticPr fontId="1" type="noConversion"/>
  </si>
  <si>
    <t>2022.05.13</t>
    <phoneticPr fontId="1" type="noConversion"/>
  </si>
  <si>
    <t>2022.04.06</t>
    <phoneticPr fontId="1" type="noConversion"/>
  </si>
  <si>
    <t>2022.04.20</t>
    <phoneticPr fontId="1" type="noConversion"/>
  </si>
  <si>
    <t>2022.04.12</t>
    <phoneticPr fontId="1" type="noConversion"/>
  </si>
  <si>
    <t>2022.02.26</t>
    <phoneticPr fontId="1" type="noConversion"/>
  </si>
  <si>
    <t>2022.04.14</t>
    <phoneticPr fontId="1" type="noConversion"/>
  </si>
  <si>
    <t>2022.03.19</t>
    <phoneticPr fontId="1" type="noConversion"/>
  </si>
  <si>
    <t>2022.04.05</t>
    <phoneticPr fontId="1" type="noConversion"/>
  </si>
  <si>
    <t>COM c Chole/Soft tissue attenuation at left middle ear cavity, mastoid antrum and mastoid air cells</t>
    <phoneticPr fontId="1" type="noConversion"/>
  </si>
  <si>
    <t>COM c Chole/whole ossicular erosion.
Soft tissue density in the atic space with equivocal adjacent bony structure erosion</t>
    <phoneticPr fontId="1" type="noConversion"/>
  </si>
  <si>
    <t>NORMAL</t>
    <phoneticPr fontId="1" type="noConversion"/>
  </si>
  <si>
    <t>COM</t>
    <phoneticPr fontId="1" type="noConversion"/>
  </si>
  <si>
    <t>COM c Chole</t>
    <phoneticPr fontId="1" type="noConversion"/>
  </si>
  <si>
    <t>COM/r/o otomastoiditis or effusion.</t>
    <phoneticPr fontId="1" type="noConversion"/>
  </si>
  <si>
    <t>Decreased pneumatization with bony sclerosis in both mastoid bone.
  - mild both mastoid effusion.
   ; Probable both COM.</t>
    <phoneticPr fontId="1" type="noConversion"/>
  </si>
  <si>
    <t>[B]COM c chole; [B]OME</t>
    <phoneticPr fontId="1" type="noConversion"/>
  </si>
  <si>
    <t xml:space="preserve">[R]COM c chole; </t>
    <phoneticPr fontId="1" type="noConversion"/>
  </si>
  <si>
    <t>Right middle ear cavity mastoid antrum등에 soft tissue attenuation 관찰되고 mastoid air cell에 sclerotic change, 
TM perforation
chronic inflammation with cholesteatoma(tegmentum tympani bone erosion).</t>
    <phoneticPr fontId="1" type="noConversion"/>
  </si>
  <si>
    <t>COM c Chole/Chronic otomastoiditis, left
 - osteolytic lesion in mastoid bone; r/o post op. state.
 - erosion in incus head and suspected erosion in stapes.
 - suspected dehiscence in superior semicircular canal.
 - opacification of round window; r/o perilymphatic fistula.</t>
    <phoneticPr fontId="1" type="noConversion"/>
  </si>
  <si>
    <t>normal</t>
    <phoneticPr fontId="1" type="noConversion"/>
  </si>
  <si>
    <t>COM c Chole
 - perforation of tympanic membrane.
 - sof tissue lesion in middle ear cavity combined with erosions in head of incus/malleus and long process of incus.
 - erosion in tegmen tympanum.</t>
    <phoneticPr fontId="1" type="noConversion"/>
  </si>
  <si>
    <t>2022.09.16</t>
    <phoneticPr fontId="1" type="noConversion"/>
  </si>
  <si>
    <t>COM c chole
1. C/W chronic otomastoiditis with acquired cholesteatoma, right
 - erosion with nearly invisble ossicles.
 - erosion in tegment tympani.
2. External otitis, right.</t>
    <phoneticPr fontId="1" type="noConversion"/>
  </si>
  <si>
    <t xml:space="preserve">COM c chole
1. Soft tissue lesion in the right middle ear cavity, mastoid air cells and antrum </t>
    <phoneticPr fontId="1" type="noConversion"/>
  </si>
  <si>
    <t>COM c chole</t>
    <phoneticPr fontId="1" type="noConversion"/>
  </si>
  <si>
    <t>COM c chole
- soft tissue attenuation in middle ear cavity and mastoid.
 - erosions in head of malleus/incus.
 - erosions in tegmen tympani and scutum.</t>
    <phoneticPr fontId="1" type="noConversion"/>
  </si>
  <si>
    <t>COM c chole
 -Sclerotic change in  Lt. mastoid.
 -Probably perforated TM.
 -Intact ossicles.</t>
    <phoneticPr fontId="1" type="noConversion"/>
  </si>
  <si>
    <t>mild COM</t>
    <phoneticPr fontId="1" type="noConversion"/>
  </si>
  <si>
    <t>COM c chole
erosion in incus head</t>
    <phoneticPr fontId="1" type="noConversion"/>
  </si>
  <si>
    <t>COM c chole
ossicular and scutum erosion</t>
    <phoneticPr fontId="1" type="noConversion"/>
  </si>
  <si>
    <t>COM c chole
destructing ossicles and scutum</t>
    <phoneticPr fontId="1" type="noConversion"/>
  </si>
  <si>
    <t>COM
Thickened and perforated left tympanic membrane.</t>
    <phoneticPr fontId="1" type="noConversion"/>
  </si>
  <si>
    <t>COM c chole
Bony defect at anterior mastoid wall, with destruction of scutum and ossicles</t>
    <phoneticPr fontId="1" type="noConversion"/>
  </si>
  <si>
    <t>COM c chole
erosions at scutum and malleus/incus</t>
    <phoneticPr fontId="1" type="noConversion"/>
  </si>
  <si>
    <t>Underdeveloped pneumatization, sclerosis and opacification of mastoid bone, right.
 - r/o postop. state.
 - erosions in tegmen tympani and sigmoid sinus wall.
 - small soft tissue lesion, superior to incus head; r/o acquired cholesteaoma.
 --&gt; C/W chronic otomastoiditis, right.</t>
    <phoneticPr fontId="1" type="noConversion"/>
  </si>
  <si>
    <t>COM c chole
 - perforation of tympanic membrane
 - soft tissue lesion in middle ear cavity combined with multiple erosions at incus/malleus, scutuma and tegmen tympani.</t>
    <phoneticPr fontId="1" type="noConversion"/>
  </si>
  <si>
    <t>《Schwannoma Lt-CPA》Benign neoplasm of cranial nerves
[L]Excision(Translabyrinthine app.); [L]Mastoid obliteration(Muscle+Fat)</t>
    <phoneticPr fontId="1" type="noConversion"/>
  </si>
  <si>
    <t>[R]OME 거의 정상</t>
    <phoneticPr fontId="1" type="noConversion"/>
  </si>
  <si>
    <t>정상</t>
    <phoneticPr fontId="1" type="noConversion"/>
  </si>
  <si>
    <t>[L]Adhesive OM; HAV; 유착성 중이염 거의 정상</t>
    <phoneticPr fontId="1" type="noConversion"/>
  </si>
  <si>
    <t>[L]COM c chole 왼쪽 외이도 결손</t>
    <phoneticPr fontId="1" type="noConversion"/>
  </si>
  <si>
    <t>S/P mastoidectomy r/o postop. state.
수술후상태임</t>
    <phoneticPr fontId="1" type="noConversion"/>
  </si>
  <si>
    <t>[R]COM c chole 수술후상태</t>
    <phoneticPr fontId="1" type="noConversion"/>
  </si>
  <si>
    <t xml:space="preserve">COM c chole
erosions in tegmen tympani.
- erosions in incus head associated with soft tissue lesion in middle ear cavity
</t>
    <phoneticPr fontId="1" type="noConversion"/>
  </si>
  <si>
    <t>COM 좌측상고실 함몰</t>
    <phoneticPr fontId="1" type="noConversion"/>
  </si>
  <si>
    <t>COM c chole 수술후상태</t>
    <phoneticPr fontId="1" type="noConversion"/>
  </si>
  <si>
    <t>COM c chole…수술후상태</t>
    <phoneticPr fontId="1" type="noConversion"/>
  </si>
  <si>
    <t>COM c chole 수술후상태
Associated ossicular erosion and soft tissue density with partially remaining malleus and incus, r/o cholesteatoma.</t>
    <phoneticPr fontId="1" type="noConversion"/>
  </si>
  <si>
    <t>Cholesteatoma in previous right temporal mastoidectomy(ICW) more likely. 수술후</t>
    <phoneticPr fontId="1" type="noConversion"/>
  </si>
  <si>
    <t>COM c chole+S/P mastoidectomy, right 수술후상태
 - soft tissue lesion in middle ear cavity; r/o recurred cholestatoma.
 - multiple erosions in ossicles and scutum.
 - thickening of EAC with narrowing; r/o external otitis with stenosis.</t>
    <phoneticPr fontId="1" type="noConversion"/>
  </si>
  <si>
    <t>Sclerosis in left mastoid air cells, left 정상
 - intact middle/inner ear structure.</t>
    <phoneticPr fontId="1" type="noConversion"/>
  </si>
  <si>
    <t>Sclerosis, left mastoid. MILD COM</t>
    <phoneticPr fontId="1" type="noConversion"/>
  </si>
  <si>
    <t>CLEAR 수술후</t>
    <phoneticPr fontId="1" type="noConversion"/>
  </si>
  <si>
    <t>COM c Chole 수술후상태(재발)</t>
    <phoneticPr fontId="1" type="noConversion"/>
  </si>
  <si>
    <t>COM c Chole 수술후상태
Soft tissue density in right middle ear cavity.
 - erosion at ossicles, tegmen tympani.</t>
    <phoneticPr fontId="1" type="noConversion"/>
  </si>
  <si>
    <t>COM c Chole
right with diffuse ossicular erosion.
Decreased aeration in left mastoid air cells, r/o chronic mastoiditis.</t>
    <phoneticPr fontId="1" type="noConversion"/>
  </si>
  <si>
    <t>COM c chole. 수술후상태</t>
    <phoneticPr fontId="1" type="noConversion"/>
  </si>
  <si>
    <t>CHOLE
 - no definite erosion in ossicles.
 - soft tissue atttenuation in mastoid and middle ear cavity.
 - dehiscence in tegmen tympani.
 - suspicious dehiscence in superior semicircular canal.</t>
    <phoneticPr fontId="1" type="noConversion"/>
  </si>
  <si>
    <t>Decreased aerization in right mastoid, r/o subtle mastoiditis. 정상</t>
    <phoneticPr fontId="1" type="noConversion"/>
  </si>
  <si>
    <t>COM, left with grossly intact ossicles. CHOLE
Soft tissue density with scutum erosion in the left middle ear, probably associated cholesteatoma.</t>
    <phoneticPr fontId="1" type="noConversion"/>
  </si>
  <si>
    <t>Decreased aeration in right mastoid air cells, probably right mastoiditis. 정상</t>
    <phoneticPr fontId="1" type="noConversion"/>
  </si>
  <si>
    <t>COM c Chole/FISTULA
Complete ossicular erosion noted.</t>
    <phoneticPr fontId="1" type="noConversion"/>
  </si>
  <si>
    <t>COM c Chole 수술후상태</t>
    <phoneticPr fontId="1" type="noConversion"/>
  </si>
  <si>
    <t>COM/Underdeveloped pneumatization, sclerosis and opacification of mastoid bone, left
 - soft tissue attenuation in mastoid extending middle ear cavity.
 - no visible ossicles.
 - erosion of scuturm.
 - defect in tegmen tympani.
 --&gt; C/W chronic otomastoiditis with acquired cholesteatoma, left.
FISTULA/CHOLE</t>
    <phoneticPr fontId="1" type="noConversion"/>
  </si>
  <si>
    <t>COM c Chole
Underdeveloped pneumatization, sclerosis and opacification of mastoid bone, right
 - thickening with perforation of tympanic membrane.
 - soft tissue attenuation in mastoid to mid ear cavity combined with erosion in head of incus/malleus and scutum.
 --&gt; C/W chronic otomastoiditis with cholesteatoma, right.</t>
    <phoneticPr fontId="1" type="noConversion"/>
  </si>
  <si>
    <t>정상
청신경종양</t>
    <phoneticPr fontId="1" type="noConversion"/>
  </si>
  <si>
    <t>Mastoid obliteration(Muscle+Fat)/ancient schwannoma 우측 청신경종양</t>
    <phoneticPr fontId="1" type="noConversion"/>
  </si>
  <si>
    <t>2022.07.15</t>
    <phoneticPr fontId="1" type="noConversion"/>
  </si>
  <si>
    <t>VS</t>
    <phoneticPr fontId="1" type="noConversion"/>
  </si>
  <si>
    <t>나이</t>
    <phoneticPr fontId="1" type="noConversion"/>
  </si>
  <si>
    <t>나이대</t>
    <phoneticPr fontId="1" type="noConversion"/>
  </si>
  <si>
    <t>CT 촬영일자</t>
    <phoneticPr fontId="1" type="noConversion"/>
  </si>
  <si>
    <t>MRI 촬영일자</t>
    <phoneticPr fontId="1" type="noConversion"/>
  </si>
  <si>
    <t>Left temporal bone chronic inflammation with ossicle, facial nerve, bony erosion more likely.</t>
  </si>
  <si>
    <t>Compatible to chronic inflammation of left temporal bone.</t>
  </si>
  <si>
    <t>Compatible to chronic inflammation of right temporal bone ("automastoidectomy").</t>
  </si>
  <si>
    <t>Soft tissue filling in left middle ear cavity with scutum blunting and ossicle involvement.
	; Soft tissue filling and sclerotic change of left mastoid air cells.
	 ; with TM perforation and retraction
	--&gt; Probable cholesteatoma with COM</t>
    <phoneticPr fontId="1" type="noConversion"/>
  </si>
  <si>
    <t>2. Soft tissue filling and sclerotic change of right mastoid air cells.
	; focal defect in tegmentum tympani, in middle ear cavity roof.
	; bony defect in lateral semicircular canal margin (arrows)
		--&gt; Fistula to middle ear cavity.
	; with TM perforation and retraction
	--&gt; Probable COM</t>
    <phoneticPr fontId="1" type="noConversion"/>
  </si>
  <si>
    <t>1. Soft tissue lesion in left middle ear cavity and left mastoidectomy site.
	; left sigmoid sinus bony wall destruction.
	; left middle ear cavity roof thinning.
	; intact lateral semicircular canal and facial canal.
	--&gt; Possible post Op. change with cholesteatoma.</t>
    <phoneticPr fontId="1" type="noConversion"/>
  </si>
  <si>
    <t>s/p right mastoidectomy.</t>
  </si>
  <si>
    <t>Compatible to chronic inflammation of left temporal bone with cholesteatoma</t>
  </si>
  <si>
    <t>S/P right mastoidectomy.
Compatible to cholesteatoma (right).</t>
    <phoneticPr fontId="1" type="noConversion"/>
  </si>
  <si>
    <t>Left temporal bone chronic inflammation with tegmentum tympani bony defect.</t>
  </si>
  <si>
    <t>-</t>
    <phoneticPr fontId="1" type="noConversion"/>
  </si>
  <si>
    <t>COM c chole.
양측수술후</t>
    <phoneticPr fontId="1" type="noConversion"/>
  </si>
  <si>
    <t>COM
양측수술후</t>
    <phoneticPr fontId="1" type="noConversion"/>
  </si>
  <si>
    <t xml:space="preserve"> - mastoidectomy state.
 - invisible ossicles.
양측수술후</t>
    <phoneticPr fontId="1" type="noConversion"/>
  </si>
  <si>
    <t xml:space="preserve"> - mastoidectomy state.
 - nearly invisible ossicles.
 - soft tissue attenuation in middle ear cavity; suggest recurred cholesteatoma.
 - defect in tegmen tympani.
양측수술후</t>
    <phoneticPr fontId="1" type="noConversion"/>
  </si>
  <si>
    <t>Tympanomastoidectomy 
양측 수술후상태</t>
    <phoneticPr fontId="1" type="noConversion"/>
  </si>
  <si>
    <t>R/O Cholesteatoma of middle ear/Tympanomastoidectomy
양측 수술후상태</t>
    <phoneticPr fontId="1" type="noConversion"/>
  </si>
  <si>
    <t>R/O Left antrum, prussack's space Inflammation.
양측 CHOLE</t>
    <phoneticPr fontId="1" type="noConversion"/>
  </si>
  <si>
    <t>1.  C/W chronic otomastoiditis, right
 - soft tissue attenuation in middle ear cavity and mastoid combined with multiple erosions in incus and malleus; suggest acquired cholesteatoma (pars tensa type).
 - suggest defect in tegmen tympani.
2. C/W chronic otomastoiditis, right
 - soft tissue attenuation in middle ear cavity and mastoid combined with suspected erosions in incus head/long process; suggest acquired cholesteatoma (pars tensa type).
양측 CHOLE</t>
    <phoneticPr fontId="1" type="noConversion"/>
  </si>
  <si>
    <t>S/P mastoidectomy
양측 수술후상태</t>
    <phoneticPr fontId="1" type="noConversion"/>
  </si>
  <si>
    <t>S/P mastoidectomy, right
 - soft tissue attention in middle ear cavity; r/o cholesteatoma.
 - suspected dehisence in tegmen tympani.
양측 수술후상태</t>
    <phoneticPr fontId="1" type="noConversion"/>
  </si>
  <si>
    <t>수술영상 유/무</t>
    <phoneticPr fontId="1" type="noConversion"/>
  </si>
  <si>
    <t>고막사진</t>
    <phoneticPr fontId="1" type="noConversion"/>
  </si>
  <si>
    <t>Before</t>
    <phoneticPr fontId="1" type="noConversion"/>
  </si>
  <si>
    <t>수술 후_3M</t>
    <phoneticPr fontId="1" type="noConversion"/>
  </si>
  <si>
    <t>수술 후_6M</t>
    <phoneticPr fontId="1" type="noConversion"/>
  </si>
  <si>
    <t>수술전 PTA</t>
    <phoneticPr fontId="1" type="noConversion"/>
  </si>
  <si>
    <t>Duration_PTA-Diagnosis</t>
    <phoneticPr fontId="9" type="noConversion"/>
  </si>
  <si>
    <t>특이사항</t>
    <phoneticPr fontId="9" type="noConversion"/>
  </si>
  <si>
    <t>R_B</t>
    <phoneticPr fontId="1" type="noConversion"/>
  </si>
  <si>
    <t>R_B Quarter</t>
    <phoneticPr fontId="1" type="noConversion"/>
  </si>
  <si>
    <t>R_A</t>
    <phoneticPr fontId="1" type="noConversion"/>
  </si>
  <si>
    <t>R_Quarter</t>
    <phoneticPr fontId="1" type="noConversion"/>
  </si>
  <si>
    <t>R_Average</t>
    <phoneticPr fontId="1" type="noConversion"/>
  </si>
  <si>
    <t>low</t>
    <phoneticPr fontId="1" type="noConversion"/>
  </si>
  <si>
    <t>mid</t>
    <phoneticPr fontId="1" type="noConversion"/>
  </si>
  <si>
    <t>high</t>
    <phoneticPr fontId="1" type="noConversion"/>
  </si>
  <si>
    <t>severity용</t>
    <phoneticPr fontId="1" type="noConversion"/>
  </si>
  <si>
    <t>audiogram type</t>
    <phoneticPr fontId="1" type="noConversion"/>
  </si>
  <si>
    <t>serverity</t>
    <phoneticPr fontId="1" type="noConversion"/>
  </si>
  <si>
    <t>Rt_SRT</t>
    <phoneticPr fontId="9" type="noConversion"/>
  </si>
  <si>
    <t>Rt_SDS</t>
    <phoneticPr fontId="1" type="noConversion"/>
  </si>
  <si>
    <t>L_B</t>
    <phoneticPr fontId="1" type="noConversion"/>
  </si>
  <si>
    <t>L_Quarter</t>
    <phoneticPr fontId="1" type="noConversion"/>
  </si>
  <si>
    <t>L_A</t>
    <phoneticPr fontId="1" type="noConversion"/>
  </si>
  <si>
    <t>L_Average</t>
    <phoneticPr fontId="1" type="noConversion"/>
  </si>
  <si>
    <t>Lt_SRT</t>
    <phoneticPr fontId="9" type="noConversion"/>
  </si>
  <si>
    <t>Lt_SDS</t>
  </si>
  <si>
    <t>검사결과 이미지</t>
    <phoneticPr fontId="9" type="noConversion"/>
  </si>
  <si>
    <t>수술후 PTA
(3M)</t>
    <phoneticPr fontId="1" type="noConversion"/>
  </si>
  <si>
    <t>Rt_SDS</t>
  </si>
  <si>
    <t>수술후 PTA
(6M)</t>
    <phoneticPr fontId="1" type="noConversion"/>
  </si>
  <si>
    <t>수술후 PTA
(1Y)</t>
    <phoneticPr fontId="1" type="noConversion"/>
  </si>
  <si>
    <t>검사일자</t>
    <phoneticPr fontId="1" type="noConversion"/>
  </si>
  <si>
    <t>PTA</t>
    <phoneticPr fontId="9" type="noConversion"/>
  </si>
  <si>
    <t>Speech</t>
    <phoneticPr fontId="9" type="noConversion"/>
  </si>
  <si>
    <t>PTA+Speech</t>
    <phoneticPr fontId="9" type="noConversion"/>
  </si>
  <si>
    <t>N/A</t>
    <phoneticPr fontId="9" type="noConversion"/>
  </si>
  <si>
    <t>역2</t>
  </si>
  <si>
    <t>C98P1</t>
    <phoneticPr fontId="9" type="noConversion"/>
  </si>
  <si>
    <t>C98S1</t>
    <phoneticPr fontId="9" type="noConversion"/>
  </si>
  <si>
    <t>C98P2</t>
    <phoneticPr fontId="9" type="noConversion"/>
  </si>
  <si>
    <t>C98S2</t>
    <phoneticPr fontId="9" type="noConversion"/>
  </si>
  <si>
    <t>C98P3</t>
    <phoneticPr fontId="9" type="noConversion"/>
  </si>
  <si>
    <t>C98S3</t>
    <phoneticPr fontId="9" type="noConversion"/>
  </si>
  <si>
    <t>C98P4</t>
    <phoneticPr fontId="9" type="noConversion"/>
  </si>
  <si>
    <t>C98S4</t>
    <phoneticPr fontId="9" type="noConversion"/>
  </si>
  <si>
    <t>Duration_PTA-Surgery</t>
    <phoneticPr fontId="9" type="noConversion"/>
  </si>
  <si>
    <t>Duration_Surgery-PTA</t>
    <phoneticPr fontId="9" type="noConversion"/>
  </si>
  <si>
    <t>수술 후_1Y</t>
    <phoneticPr fontId="1" type="noConversion"/>
  </si>
  <si>
    <t>1: 남자
2: 여자</t>
    <phoneticPr fontId="1" type="noConversion"/>
  </si>
  <si>
    <t>sex</t>
    <phoneticPr fontId="1" type="noConversion"/>
  </si>
  <si>
    <t>500,1K,2K,4K,8K AVERAGE</t>
    <phoneticPr fontId="1" type="noConversion"/>
  </si>
  <si>
    <t>0.125,0.25,0.5Hz 의 청력역치 평균</t>
    <phoneticPr fontId="1" type="noConversion"/>
  </si>
  <si>
    <t>1k,2k Hz 의 청력 역치 평균</t>
    <phoneticPr fontId="1" type="noConversion"/>
  </si>
  <si>
    <t>3k,4k,8k 의 청력 역치의 평균</t>
    <phoneticPr fontId="1" type="noConversion"/>
  </si>
  <si>
    <t>500, 1k, 2k, 3k Hz 의 청력역치의 평균</t>
    <phoneticPr fontId="1" type="noConversion"/>
  </si>
  <si>
    <t>1:ascending
2:U shape
3:descending
4:flat(15dB차이안)
5:deaf(&gt;=100dB)
6.기타</t>
    <phoneticPr fontId="9" type="noConversion"/>
  </si>
  <si>
    <t>0: normal (20 미만)
1:mild(20~39)
2:moderate(40~59)
3:severe(60~79)
4:profound(80~100)
5:deaf(100이상)</t>
    <phoneticPr fontId="9" type="noConversion"/>
  </si>
  <si>
    <t>dB</t>
    <phoneticPr fontId="9" type="noConversion"/>
  </si>
  <si>
    <t>%</t>
    <phoneticPr fontId="9" type="noConversion"/>
  </si>
  <si>
    <t>500,1K,2K,4K,8K AVERAGE</t>
  </si>
  <si>
    <t>0.125,0.25,0.5Hz 의 청력역치 평균</t>
  </si>
  <si>
    <t>1k,2k Hz 의 청력 역치 평균</t>
  </si>
  <si>
    <t>3k,4k,8k 의 청력 역치의 평균</t>
  </si>
  <si>
    <t>500, 1k, 2k, 3k Hz 의 청력역치의 평균</t>
  </si>
  <si>
    <t>C*P1</t>
    <phoneticPr fontId="9" type="noConversion"/>
  </si>
  <si>
    <t>C*S1</t>
    <phoneticPr fontId="9" type="noConversion"/>
  </si>
  <si>
    <t>C*PS1</t>
    <phoneticPr fontId="9" type="noConversion"/>
  </si>
  <si>
    <t>C*P2</t>
    <phoneticPr fontId="9" type="noConversion"/>
  </si>
  <si>
    <t>C*S2</t>
    <phoneticPr fontId="9" type="noConversion"/>
  </si>
  <si>
    <t>C*PS2</t>
    <phoneticPr fontId="9" type="noConversion"/>
  </si>
  <si>
    <t>C*P3</t>
    <phoneticPr fontId="9" type="noConversion"/>
  </si>
  <si>
    <t>C*S3</t>
    <phoneticPr fontId="9" type="noConversion"/>
  </si>
  <si>
    <t>C*PS3</t>
    <phoneticPr fontId="9" type="noConversion"/>
  </si>
  <si>
    <t>C*P4</t>
    <phoneticPr fontId="9" type="noConversion"/>
  </si>
  <si>
    <t>C*S4</t>
    <phoneticPr fontId="9" type="noConversion"/>
  </si>
  <si>
    <t>C*PS4</t>
    <phoneticPr fontId="9" type="noConversion"/>
  </si>
  <si>
    <t>C234P1</t>
    <phoneticPr fontId="1" type="noConversion"/>
  </si>
  <si>
    <t>C234S1</t>
    <phoneticPr fontId="9" type="noConversion"/>
  </si>
  <si>
    <t>N/A</t>
    <phoneticPr fontId="1" type="noConversion"/>
  </si>
  <si>
    <t>C234P2</t>
    <phoneticPr fontId="1" type="noConversion"/>
  </si>
  <si>
    <t>C234S2</t>
    <phoneticPr fontId="1" type="noConversion"/>
  </si>
  <si>
    <t>C234PS3</t>
    <phoneticPr fontId="1" type="noConversion"/>
  </si>
  <si>
    <t>C234P4</t>
    <phoneticPr fontId="1" type="noConversion"/>
  </si>
  <si>
    <t>C234S4</t>
    <phoneticPr fontId="1" type="noConversion"/>
  </si>
  <si>
    <t>C22P1</t>
    <phoneticPr fontId="9" type="noConversion"/>
  </si>
  <si>
    <t>C22S1</t>
    <phoneticPr fontId="9" type="noConversion"/>
  </si>
  <si>
    <t>C307P1</t>
  </si>
  <si>
    <t>C307S1</t>
    <phoneticPr fontId="1" type="noConversion"/>
  </si>
  <si>
    <t>C307P2</t>
    <phoneticPr fontId="1" type="noConversion"/>
  </si>
  <si>
    <t>C307S2</t>
    <phoneticPr fontId="1" type="noConversion"/>
  </si>
  <si>
    <t>C307P3</t>
    <phoneticPr fontId="1" type="noConversion"/>
  </si>
  <si>
    <t>C307S3</t>
    <phoneticPr fontId="1" type="noConversion"/>
  </si>
  <si>
    <t>C232P1</t>
    <phoneticPr fontId="1" type="noConversion"/>
  </si>
  <si>
    <t>C232S1</t>
    <phoneticPr fontId="9" type="noConversion"/>
  </si>
  <si>
    <t>C232P2</t>
    <phoneticPr fontId="1" type="noConversion"/>
  </si>
  <si>
    <t>C232S2</t>
    <phoneticPr fontId="1" type="noConversion"/>
  </si>
  <si>
    <t>C232PS3</t>
    <phoneticPr fontId="1" type="noConversion"/>
  </si>
  <si>
    <t>C232P4</t>
    <phoneticPr fontId="1" type="noConversion"/>
  </si>
  <si>
    <t>C232S4</t>
    <phoneticPr fontId="1" type="noConversion"/>
  </si>
  <si>
    <t>C282P1</t>
    <phoneticPr fontId="9" type="noConversion"/>
  </si>
  <si>
    <t>C282S1</t>
    <phoneticPr fontId="9" type="noConversion"/>
  </si>
  <si>
    <t>C282P2</t>
    <phoneticPr fontId="1" type="noConversion"/>
  </si>
  <si>
    <t>C282S2</t>
    <phoneticPr fontId="1" type="noConversion"/>
  </si>
  <si>
    <t>C282P3</t>
    <phoneticPr fontId="1" type="noConversion"/>
  </si>
  <si>
    <t>C282S3</t>
    <phoneticPr fontId="1" type="noConversion"/>
  </si>
  <si>
    <t>C160P1</t>
    <phoneticPr fontId="9" type="noConversion"/>
  </si>
  <si>
    <t>C160S1</t>
    <phoneticPr fontId="9" type="noConversion"/>
  </si>
  <si>
    <t>C160P2</t>
    <phoneticPr fontId="1" type="noConversion"/>
  </si>
  <si>
    <t>C160S2</t>
    <phoneticPr fontId="1" type="noConversion"/>
  </si>
  <si>
    <t>C160P3</t>
    <phoneticPr fontId="1" type="noConversion"/>
  </si>
  <si>
    <t>C160S3</t>
    <phoneticPr fontId="1" type="noConversion"/>
  </si>
  <si>
    <t>C160P4</t>
    <phoneticPr fontId="1" type="noConversion"/>
  </si>
  <si>
    <t>C160S4</t>
    <phoneticPr fontId="1" type="noConversion"/>
  </si>
  <si>
    <t>C87PS1</t>
    <phoneticPr fontId="9" type="noConversion"/>
  </si>
  <si>
    <t>C87P2</t>
    <phoneticPr fontId="9" type="noConversion"/>
  </si>
  <si>
    <t>C87S2</t>
    <phoneticPr fontId="9" type="noConversion"/>
  </si>
  <si>
    <t>C87P3</t>
    <phoneticPr fontId="9" type="noConversion"/>
  </si>
  <si>
    <t>C87S3</t>
    <phoneticPr fontId="9" type="noConversion"/>
  </si>
  <si>
    <t>C88PS1</t>
    <phoneticPr fontId="9" type="noConversion"/>
  </si>
  <si>
    <t>C88P3</t>
    <phoneticPr fontId="9" type="noConversion"/>
  </si>
  <si>
    <t>C88S3</t>
    <phoneticPr fontId="9" type="noConversion"/>
  </si>
  <si>
    <t>C88P4</t>
    <phoneticPr fontId="9" type="noConversion"/>
  </si>
  <si>
    <t>C88S4</t>
    <phoneticPr fontId="9" type="noConversion"/>
  </si>
  <si>
    <t>C193P1</t>
    <phoneticPr fontId="9" type="noConversion"/>
  </si>
  <si>
    <t>C193S1</t>
    <phoneticPr fontId="9" type="noConversion"/>
  </si>
  <si>
    <t>C193PS2</t>
    <phoneticPr fontId="1" type="noConversion"/>
  </si>
  <si>
    <t>C343P1</t>
    <phoneticPr fontId="1" type="noConversion"/>
  </si>
  <si>
    <t>C343S1</t>
    <phoneticPr fontId="1" type="noConversion"/>
  </si>
  <si>
    <t>C183P1</t>
  </si>
  <si>
    <t>C183S1</t>
    <phoneticPr fontId="9" type="noConversion"/>
  </si>
  <si>
    <t>C183P2</t>
    <phoneticPr fontId="1" type="noConversion"/>
  </si>
  <si>
    <t>C183S2</t>
    <phoneticPr fontId="1" type="noConversion"/>
  </si>
  <si>
    <t>C183P3</t>
    <phoneticPr fontId="1" type="noConversion"/>
  </si>
  <si>
    <t>C183S3</t>
    <phoneticPr fontId="1" type="noConversion"/>
  </si>
  <si>
    <t>C183P4</t>
    <phoneticPr fontId="1" type="noConversion"/>
  </si>
  <si>
    <t>C183S4</t>
    <phoneticPr fontId="1" type="noConversion"/>
  </si>
  <si>
    <t>CB1197P1</t>
    <phoneticPr fontId="9" type="noConversion"/>
  </si>
  <si>
    <t>CB1197S1</t>
    <phoneticPr fontId="9" type="noConversion"/>
  </si>
  <si>
    <t>CB1197P2</t>
    <phoneticPr fontId="1" type="noConversion"/>
  </si>
  <si>
    <t>CB1197S2</t>
    <phoneticPr fontId="1" type="noConversion"/>
  </si>
  <si>
    <t>CB1197P3</t>
    <phoneticPr fontId="9" type="noConversion"/>
  </si>
  <si>
    <t>CB1197S3</t>
    <phoneticPr fontId="9" type="noConversion"/>
  </si>
  <si>
    <t>CB1197P4</t>
    <phoneticPr fontId="1" type="noConversion"/>
  </si>
  <si>
    <t>CB1197S4</t>
    <phoneticPr fontId="1" type="noConversion"/>
  </si>
  <si>
    <t>C169P1</t>
    <phoneticPr fontId="9" type="noConversion"/>
  </si>
  <si>
    <t>C169S1</t>
    <phoneticPr fontId="9" type="noConversion"/>
  </si>
  <si>
    <t>C169PS2</t>
    <phoneticPr fontId="1" type="noConversion"/>
  </si>
  <si>
    <t>C190P1</t>
    <phoneticPr fontId="1" type="noConversion"/>
  </si>
  <si>
    <t>C190S1</t>
    <phoneticPr fontId="9" type="noConversion"/>
  </si>
  <si>
    <t>C190PS2</t>
    <phoneticPr fontId="1" type="noConversion"/>
  </si>
  <si>
    <t>C296P1</t>
  </si>
  <si>
    <t>C296S1</t>
    <phoneticPr fontId="1" type="noConversion"/>
  </si>
  <si>
    <t>C296P2</t>
    <phoneticPr fontId="1" type="noConversion"/>
  </si>
  <si>
    <t>C296S2</t>
    <phoneticPr fontId="1" type="noConversion"/>
  </si>
  <si>
    <t>C296P3</t>
    <phoneticPr fontId="1" type="noConversion"/>
  </si>
  <si>
    <t>C296S3</t>
    <phoneticPr fontId="1" type="noConversion"/>
  </si>
  <si>
    <t>C265P1</t>
    <phoneticPr fontId="1" type="noConversion"/>
  </si>
  <si>
    <t>C265S1</t>
    <phoneticPr fontId="9" type="noConversion"/>
  </si>
  <si>
    <t>C265P2</t>
    <phoneticPr fontId="1" type="noConversion"/>
  </si>
  <si>
    <t>C265S2</t>
    <phoneticPr fontId="1" type="noConversion"/>
  </si>
  <si>
    <t>C265P3</t>
    <phoneticPr fontId="1" type="noConversion"/>
  </si>
  <si>
    <t>C265S3</t>
    <phoneticPr fontId="1" type="noConversion"/>
  </si>
  <si>
    <t>C265P4</t>
    <phoneticPr fontId="1" type="noConversion"/>
  </si>
  <si>
    <t>C265S4</t>
    <phoneticPr fontId="1" type="noConversion"/>
  </si>
  <si>
    <t>C26P1</t>
    <phoneticPr fontId="9" type="noConversion"/>
  </si>
  <si>
    <t>C26S1</t>
    <phoneticPr fontId="9" type="noConversion"/>
  </si>
  <si>
    <t>C26PS2</t>
    <phoneticPr fontId="9" type="noConversion"/>
  </si>
  <si>
    <t>C26P3</t>
    <phoneticPr fontId="9" type="noConversion"/>
  </si>
  <si>
    <t>C26S3</t>
    <phoneticPr fontId="9" type="noConversion"/>
  </si>
  <si>
    <t>C26P4</t>
    <phoneticPr fontId="9" type="noConversion"/>
  </si>
  <si>
    <t>C26S4</t>
    <phoneticPr fontId="9" type="noConversion"/>
  </si>
  <si>
    <t>no response</t>
    <phoneticPr fontId="9" type="noConversion"/>
  </si>
  <si>
    <t>C78P1</t>
    <phoneticPr fontId="9" type="noConversion"/>
  </si>
  <si>
    <t>C78S1</t>
    <phoneticPr fontId="9" type="noConversion"/>
  </si>
  <si>
    <t>NR</t>
    <phoneticPr fontId="1" type="noConversion"/>
  </si>
  <si>
    <t>C78PS2</t>
    <phoneticPr fontId="9" type="noConversion"/>
  </si>
  <si>
    <t>C78P3</t>
    <phoneticPr fontId="9" type="noConversion"/>
  </si>
  <si>
    <t>C78S3</t>
    <phoneticPr fontId="9" type="noConversion"/>
  </si>
  <si>
    <t>no response</t>
    <phoneticPr fontId="1" type="noConversion"/>
  </si>
  <si>
    <t>C78P4</t>
    <phoneticPr fontId="9" type="noConversion"/>
  </si>
  <si>
    <t>C78S4</t>
    <phoneticPr fontId="9" type="noConversion"/>
  </si>
  <si>
    <t>C237P1</t>
    <phoneticPr fontId="1" type="noConversion"/>
  </si>
  <si>
    <t>C237S1</t>
    <phoneticPr fontId="9" type="noConversion"/>
  </si>
  <si>
    <t>C237P2</t>
    <phoneticPr fontId="1" type="noConversion"/>
  </si>
  <si>
    <t>C237S2</t>
    <phoneticPr fontId="1" type="noConversion"/>
  </si>
  <si>
    <t>C237P3</t>
    <phoneticPr fontId="1" type="noConversion"/>
  </si>
  <si>
    <t>C237S3</t>
    <phoneticPr fontId="1" type="noConversion"/>
  </si>
  <si>
    <t>C237P4</t>
    <phoneticPr fontId="1" type="noConversion"/>
  </si>
  <si>
    <t>C237S4</t>
    <phoneticPr fontId="1" type="noConversion"/>
  </si>
  <si>
    <t>C291PS1</t>
  </si>
  <si>
    <t>C291P2</t>
    <phoneticPr fontId="1" type="noConversion"/>
  </si>
  <si>
    <t>C291S2</t>
    <phoneticPr fontId="1" type="noConversion"/>
  </si>
  <si>
    <t>C291P3</t>
    <phoneticPr fontId="1" type="noConversion"/>
  </si>
  <si>
    <t>C291S3</t>
    <phoneticPr fontId="1" type="noConversion"/>
  </si>
  <si>
    <t>C91P1</t>
    <phoneticPr fontId="9" type="noConversion"/>
  </si>
  <si>
    <t>C91S1</t>
    <phoneticPr fontId="9" type="noConversion"/>
  </si>
  <si>
    <t>C91P3</t>
    <phoneticPr fontId="9" type="noConversion"/>
  </si>
  <si>
    <t>C91S3</t>
    <phoneticPr fontId="9" type="noConversion"/>
  </si>
  <si>
    <t>C168P1</t>
    <phoneticPr fontId="9" type="noConversion"/>
  </si>
  <si>
    <t>C168PS1</t>
    <phoneticPr fontId="9" type="noConversion"/>
  </si>
  <si>
    <t>C168P2</t>
    <phoneticPr fontId="1" type="noConversion"/>
  </si>
  <si>
    <t>C168S2</t>
    <phoneticPr fontId="1" type="noConversion"/>
  </si>
  <si>
    <t>C168PS3</t>
    <phoneticPr fontId="1" type="noConversion"/>
  </si>
  <si>
    <t>C168PS4</t>
    <phoneticPr fontId="1" type="noConversion"/>
  </si>
  <si>
    <t>CB1176P1</t>
    <phoneticPr fontId="9" type="noConversion"/>
  </si>
  <si>
    <t>CB1176S1</t>
    <phoneticPr fontId="9" type="noConversion"/>
  </si>
  <si>
    <t>CB1176P4</t>
    <phoneticPr fontId="1" type="noConversion"/>
  </si>
  <si>
    <t>CB1176S4</t>
    <phoneticPr fontId="1" type="noConversion"/>
  </si>
  <si>
    <t>C332P1</t>
    <phoneticPr fontId="1" type="noConversion"/>
  </si>
  <si>
    <t>C332S1</t>
    <phoneticPr fontId="1" type="noConversion"/>
  </si>
  <si>
    <t>C332P2</t>
    <phoneticPr fontId="1" type="noConversion"/>
  </si>
  <si>
    <t>C332S2</t>
    <phoneticPr fontId="1" type="noConversion"/>
  </si>
  <si>
    <t>C332P3</t>
    <phoneticPr fontId="1" type="noConversion"/>
  </si>
  <si>
    <t>C332S3</t>
    <phoneticPr fontId="1" type="noConversion"/>
  </si>
  <si>
    <t>C261P1</t>
    <phoneticPr fontId="1" type="noConversion"/>
  </si>
  <si>
    <t>C261S1</t>
    <phoneticPr fontId="9" type="noConversion"/>
  </si>
  <si>
    <t>C261PS2</t>
    <phoneticPr fontId="1" type="noConversion"/>
  </si>
  <si>
    <t>C261P3</t>
    <phoneticPr fontId="1" type="noConversion"/>
  </si>
  <si>
    <t>C261S3</t>
    <phoneticPr fontId="1" type="noConversion"/>
  </si>
  <si>
    <t>C24P1</t>
    <phoneticPr fontId="9" type="noConversion"/>
  </si>
  <si>
    <t>C24S1</t>
    <phoneticPr fontId="9" type="noConversion"/>
  </si>
  <si>
    <t>C24P2</t>
    <phoneticPr fontId="9" type="noConversion"/>
  </si>
  <si>
    <t>C24S2</t>
    <phoneticPr fontId="9" type="noConversion"/>
  </si>
  <si>
    <t>C24P3</t>
    <phoneticPr fontId="9" type="noConversion"/>
  </si>
  <si>
    <t>C24S3</t>
    <phoneticPr fontId="9" type="noConversion"/>
  </si>
  <si>
    <t>C191P1</t>
    <phoneticPr fontId="1" type="noConversion"/>
  </si>
  <si>
    <t>C191S1</t>
    <phoneticPr fontId="9" type="noConversion"/>
  </si>
  <si>
    <t>C191PS3</t>
    <phoneticPr fontId="1" type="noConversion"/>
  </si>
  <si>
    <t>C191PS4</t>
    <phoneticPr fontId="1" type="noConversion"/>
  </si>
  <si>
    <t>CB1179P1</t>
    <phoneticPr fontId="9" type="noConversion"/>
  </si>
  <si>
    <t>CB1179S1</t>
    <phoneticPr fontId="9" type="noConversion"/>
  </si>
  <si>
    <t>CB1179PS2</t>
    <phoneticPr fontId="1" type="noConversion"/>
  </si>
  <si>
    <t>C339P1</t>
    <phoneticPr fontId="1" type="noConversion"/>
  </si>
  <si>
    <t>C339S1</t>
    <phoneticPr fontId="1" type="noConversion"/>
  </si>
  <si>
    <t>C339P2</t>
    <phoneticPr fontId="1" type="noConversion"/>
  </si>
  <si>
    <t>C339S2</t>
    <phoneticPr fontId="1" type="noConversion"/>
  </si>
  <si>
    <t>C251P1</t>
    <phoneticPr fontId="1" type="noConversion"/>
  </si>
  <si>
    <t>C251S1</t>
    <phoneticPr fontId="9" type="noConversion"/>
  </si>
  <si>
    <t>CB1186P1</t>
    <phoneticPr fontId="9" type="noConversion"/>
  </si>
  <si>
    <t>CB1186S1</t>
    <phoneticPr fontId="9" type="noConversion"/>
  </si>
  <si>
    <t>CB1186P2</t>
    <phoneticPr fontId="1" type="noConversion"/>
  </si>
  <si>
    <t>CB1186S2</t>
    <phoneticPr fontId="1" type="noConversion"/>
  </si>
  <si>
    <t>CB1186P3</t>
    <phoneticPr fontId="9" type="noConversion"/>
  </si>
  <si>
    <t>CB1186S3</t>
    <phoneticPr fontId="9" type="noConversion"/>
  </si>
  <si>
    <t>CB1186PS4</t>
    <phoneticPr fontId="9" type="noConversion"/>
  </si>
  <si>
    <t>CB1183P1</t>
    <phoneticPr fontId="9" type="noConversion"/>
  </si>
  <si>
    <t>CB1183S1</t>
    <phoneticPr fontId="9" type="noConversion"/>
  </si>
  <si>
    <t>CB1183P3</t>
    <phoneticPr fontId="9" type="noConversion"/>
  </si>
  <si>
    <t>CB1183S3</t>
    <phoneticPr fontId="9" type="noConversion"/>
  </si>
  <si>
    <t>CB1183P4</t>
    <phoneticPr fontId="1" type="noConversion"/>
  </si>
  <si>
    <t>CB1183S4</t>
    <phoneticPr fontId="1" type="noConversion"/>
  </si>
  <si>
    <t>C310PS1</t>
    <phoneticPr fontId="1" type="noConversion"/>
  </si>
  <si>
    <t>C324P1</t>
    <phoneticPr fontId="1" type="noConversion"/>
  </si>
  <si>
    <t>C324P2</t>
    <phoneticPr fontId="1" type="noConversion"/>
  </si>
  <si>
    <t>C324S2</t>
    <phoneticPr fontId="1" type="noConversion"/>
  </si>
  <si>
    <t>C324P3</t>
    <phoneticPr fontId="1" type="noConversion"/>
  </si>
  <si>
    <t>C324S3</t>
    <phoneticPr fontId="1" type="noConversion"/>
  </si>
  <si>
    <t>C206P1</t>
    <phoneticPr fontId="1" type="noConversion"/>
  </si>
  <si>
    <t>C206S1</t>
    <phoneticPr fontId="9" type="noConversion"/>
  </si>
  <si>
    <t>C206PS2</t>
    <phoneticPr fontId="1" type="noConversion"/>
  </si>
  <si>
    <t>C206P4</t>
    <phoneticPr fontId="1" type="noConversion"/>
  </si>
  <si>
    <t>C206S4</t>
    <phoneticPr fontId="1" type="noConversion"/>
  </si>
  <si>
    <t>C159P1</t>
    <phoneticPr fontId="9" type="noConversion"/>
  </si>
  <si>
    <t>C159S1</t>
    <phoneticPr fontId="9" type="noConversion"/>
  </si>
  <si>
    <t>C159P2</t>
    <phoneticPr fontId="1" type="noConversion"/>
  </si>
  <si>
    <t>C159S2</t>
    <phoneticPr fontId="1" type="noConversion"/>
  </si>
  <si>
    <t>C159P3</t>
    <phoneticPr fontId="1" type="noConversion"/>
  </si>
  <si>
    <t>C159S3</t>
    <phoneticPr fontId="1" type="noConversion"/>
  </si>
  <si>
    <t>C189P1</t>
  </si>
  <si>
    <t>C189S1</t>
    <phoneticPr fontId="9" type="noConversion"/>
  </si>
  <si>
    <t>C189PS2</t>
    <phoneticPr fontId="1" type="noConversion"/>
  </si>
  <si>
    <t>C189P3</t>
    <phoneticPr fontId="1" type="noConversion"/>
  </si>
  <si>
    <t>C189S3</t>
    <phoneticPr fontId="1" type="noConversion"/>
  </si>
  <si>
    <t>C329P1</t>
    <phoneticPr fontId="1" type="noConversion"/>
  </si>
  <si>
    <t>C329S1</t>
    <phoneticPr fontId="1" type="noConversion"/>
  </si>
  <si>
    <t>C329P2</t>
    <phoneticPr fontId="1" type="noConversion"/>
  </si>
  <si>
    <t>C329S2</t>
    <phoneticPr fontId="1" type="noConversion"/>
  </si>
  <si>
    <t>C329P3</t>
    <phoneticPr fontId="1" type="noConversion"/>
  </si>
  <si>
    <t>C329S3</t>
    <phoneticPr fontId="1" type="noConversion"/>
  </si>
  <si>
    <t>C238P1</t>
    <phoneticPr fontId="1" type="noConversion"/>
  </si>
  <si>
    <t>C238S1</t>
    <phoneticPr fontId="9" type="noConversion"/>
  </si>
  <si>
    <t>C238PS2</t>
    <phoneticPr fontId="1" type="noConversion"/>
  </si>
  <si>
    <t>C238P3</t>
    <phoneticPr fontId="1" type="noConversion"/>
  </si>
  <si>
    <t>C238S3</t>
    <phoneticPr fontId="1" type="noConversion"/>
  </si>
  <si>
    <t>C238P4</t>
    <phoneticPr fontId="1" type="noConversion"/>
  </si>
  <si>
    <t>C238S4</t>
    <phoneticPr fontId="1" type="noConversion"/>
  </si>
  <si>
    <t>C217P1</t>
    <phoneticPr fontId="1" type="noConversion"/>
  </si>
  <si>
    <t>C217S1</t>
    <phoneticPr fontId="9" type="noConversion"/>
  </si>
  <si>
    <t>C217P2</t>
    <phoneticPr fontId="1" type="noConversion"/>
  </si>
  <si>
    <t>C217S2</t>
    <phoneticPr fontId="1" type="noConversion"/>
  </si>
  <si>
    <t>C217PS3</t>
    <phoneticPr fontId="1" type="noConversion"/>
  </si>
  <si>
    <t>C250P1</t>
    <phoneticPr fontId="1" type="noConversion"/>
  </si>
  <si>
    <t>C250S1</t>
    <phoneticPr fontId="9" type="noConversion"/>
  </si>
  <si>
    <t>C250P2</t>
  </si>
  <si>
    <t>C250S2</t>
    <phoneticPr fontId="1" type="noConversion"/>
  </si>
  <si>
    <t>C253P1</t>
    <phoneticPr fontId="1" type="noConversion"/>
  </si>
  <si>
    <t>C253S1</t>
    <phoneticPr fontId="9" type="noConversion"/>
  </si>
  <si>
    <t>기록없음</t>
    <phoneticPr fontId="1" type="noConversion"/>
  </si>
  <si>
    <t>없음</t>
    <phoneticPr fontId="1" type="noConversion"/>
  </si>
  <si>
    <t>C253PS2</t>
  </si>
  <si>
    <t>C253P3</t>
  </si>
  <si>
    <t>C253P4</t>
    <phoneticPr fontId="1" type="noConversion"/>
  </si>
  <si>
    <t>C288P1</t>
  </si>
  <si>
    <t>C288S1</t>
    <phoneticPr fontId="1" type="noConversion"/>
  </si>
  <si>
    <t>C288P2</t>
    <phoneticPr fontId="1" type="noConversion"/>
  </si>
  <si>
    <t>C288S2</t>
    <phoneticPr fontId="1" type="noConversion"/>
  </si>
  <si>
    <t>C288P3</t>
    <phoneticPr fontId="1" type="noConversion"/>
  </si>
  <si>
    <t>C288S3</t>
    <phoneticPr fontId="1" type="noConversion"/>
  </si>
  <si>
    <t>C162P1</t>
    <phoneticPr fontId="9" type="noConversion"/>
  </si>
  <si>
    <t>C162S1</t>
    <phoneticPr fontId="9" type="noConversion"/>
  </si>
  <si>
    <t>C162P2</t>
    <phoneticPr fontId="1" type="noConversion"/>
  </si>
  <si>
    <t>C162S2</t>
    <phoneticPr fontId="1" type="noConversion"/>
  </si>
  <si>
    <t>C162P3</t>
    <phoneticPr fontId="1" type="noConversion"/>
  </si>
  <si>
    <t>C162S3</t>
    <phoneticPr fontId="1" type="noConversion"/>
  </si>
  <si>
    <t>C196P1</t>
    <phoneticPr fontId="1" type="noConversion"/>
  </si>
  <si>
    <t>C196S1</t>
    <phoneticPr fontId="9" type="noConversion"/>
  </si>
  <si>
    <t>C196P2</t>
    <phoneticPr fontId="1" type="noConversion"/>
  </si>
  <si>
    <t>C196S2</t>
    <phoneticPr fontId="1" type="noConversion"/>
  </si>
  <si>
    <t>C196P3</t>
    <phoneticPr fontId="1" type="noConversion"/>
  </si>
  <si>
    <t>C196S3</t>
    <phoneticPr fontId="1" type="noConversion"/>
  </si>
  <si>
    <t>C196P4</t>
    <phoneticPr fontId="1" type="noConversion"/>
  </si>
  <si>
    <t>C196S4</t>
    <phoneticPr fontId="1" type="noConversion"/>
  </si>
  <si>
    <t>C326P1</t>
    <phoneticPr fontId="1" type="noConversion"/>
  </si>
  <si>
    <t>C326S1</t>
    <phoneticPr fontId="1" type="noConversion"/>
  </si>
  <si>
    <t>C326P2</t>
    <phoneticPr fontId="1" type="noConversion"/>
  </si>
  <si>
    <t>C326S2</t>
    <phoneticPr fontId="1" type="noConversion"/>
  </si>
  <si>
    <t>C326PS3</t>
    <phoneticPr fontId="1" type="noConversion"/>
  </si>
  <si>
    <t>C176P1</t>
    <phoneticPr fontId="9" type="noConversion"/>
  </si>
  <si>
    <t>C176S1</t>
  </si>
  <si>
    <t>C176P3</t>
    <phoneticPr fontId="1" type="noConversion"/>
  </si>
  <si>
    <t>C176S3</t>
    <phoneticPr fontId="1" type="noConversion"/>
  </si>
  <si>
    <t>C277P1</t>
    <phoneticPr fontId="9" type="noConversion"/>
  </si>
  <si>
    <t>C277S1</t>
    <phoneticPr fontId="9" type="noConversion"/>
  </si>
  <si>
    <t>C277P2</t>
    <phoneticPr fontId="1" type="noConversion"/>
  </si>
  <si>
    <t>C277S2</t>
    <phoneticPr fontId="1" type="noConversion"/>
  </si>
  <si>
    <t>C277P3</t>
    <phoneticPr fontId="1" type="noConversion"/>
  </si>
  <si>
    <t>C277S3</t>
    <phoneticPr fontId="1" type="noConversion"/>
  </si>
  <si>
    <t>C122P1</t>
    <phoneticPr fontId="9" type="noConversion"/>
  </si>
  <si>
    <t>C122S1</t>
    <phoneticPr fontId="9" type="noConversion"/>
  </si>
  <si>
    <t>C122P2</t>
    <phoneticPr fontId="1" type="noConversion"/>
  </si>
  <si>
    <t>C122S2</t>
    <phoneticPr fontId="1" type="noConversion"/>
  </si>
  <si>
    <t>C122PS3</t>
    <phoneticPr fontId="1" type="noConversion"/>
  </si>
  <si>
    <t>C122P4</t>
    <phoneticPr fontId="1" type="noConversion"/>
  </si>
  <si>
    <t>C122S4</t>
    <phoneticPr fontId="1" type="noConversion"/>
  </si>
  <si>
    <t>80s</t>
    <phoneticPr fontId="1" type="noConversion"/>
  </si>
  <si>
    <t>75s</t>
    <phoneticPr fontId="1" type="noConversion"/>
  </si>
  <si>
    <t>105s</t>
    <phoneticPr fontId="1" type="noConversion"/>
  </si>
  <si>
    <t>120s</t>
    <phoneticPr fontId="1" type="noConversion"/>
  </si>
  <si>
    <t>3M,12Y X</t>
    <phoneticPr fontId="1" type="noConversion"/>
  </si>
  <si>
    <t>55s</t>
    <phoneticPr fontId="1" type="noConversion"/>
  </si>
  <si>
    <t>70s</t>
    <phoneticPr fontId="1" type="noConversion"/>
  </si>
  <si>
    <t>85s</t>
    <phoneticPr fontId="1" type="noConversion"/>
  </si>
  <si>
    <t>115s</t>
    <phoneticPr fontId="1" type="noConversion"/>
  </si>
  <si>
    <t>110s</t>
    <phoneticPr fontId="1" type="noConversion"/>
  </si>
  <si>
    <t>6M,1Y X</t>
    <phoneticPr fontId="1" type="noConversion"/>
  </si>
  <si>
    <t>1Y X</t>
    <phoneticPr fontId="1" type="noConversion"/>
  </si>
  <si>
    <t>after x</t>
    <phoneticPr fontId="1" type="noConversion"/>
  </si>
  <si>
    <t>60s</t>
    <phoneticPr fontId="1" type="noConversion"/>
  </si>
  <si>
    <t>45s</t>
    <phoneticPr fontId="1" type="noConversion"/>
  </si>
  <si>
    <t>15s</t>
    <phoneticPr fontId="1" type="noConversion"/>
  </si>
  <si>
    <t>-5s</t>
    <phoneticPr fontId="1" type="noConversion"/>
  </si>
  <si>
    <t>40s</t>
    <phoneticPr fontId="1" type="noConversion"/>
  </si>
  <si>
    <t>5s</t>
    <phoneticPr fontId="1" type="noConversion"/>
  </si>
  <si>
    <t>65s</t>
    <phoneticPr fontId="1" type="noConversion"/>
  </si>
  <si>
    <t>10s</t>
    <phoneticPr fontId="1" type="noConversion"/>
  </si>
  <si>
    <t>clear</t>
    <phoneticPr fontId="1" type="noConversion"/>
  </si>
  <si>
    <t>100s</t>
    <phoneticPr fontId="1" type="noConversion"/>
  </si>
  <si>
    <t>3M X, 1Y check</t>
    <phoneticPr fontId="1" type="noConversion"/>
  </si>
  <si>
    <t>역2</t>
    <phoneticPr fontId="1" type="noConversion"/>
  </si>
  <si>
    <t>After 날짜 CHECK</t>
    <phoneticPr fontId="1" type="noConversion"/>
  </si>
  <si>
    <t>3M, 1Y CHECK</t>
    <phoneticPr fontId="1" type="noConversion"/>
  </si>
  <si>
    <t>After X</t>
    <phoneticPr fontId="1" type="noConversion"/>
  </si>
  <si>
    <t>1Y 날짜 check</t>
    <phoneticPr fontId="1" type="noConversion"/>
  </si>
  <si>
    <t>3M X, 6M 1Y check</t>
    <phoneticPr fontId="1" type="noConversion"/>
  </si>
  <si>
    <t>6M X</t>
    <phoneticPr fontId="1" type="noConversion"/>
  </si>
  <si>
    <t>6M, 1Y 날짜 CHECK</t>
    <phoneticPr fontId="1" type="noConversion"/>
  </si>
  <si>
    <t>3MX</t>
    <phoneticPr fontId="1" type="noConversion"/>
  </si>
  <si>
    <t>3M, 1Y X</t>
    <phoneticPr fontId="1" type="noConversion"/>
  </si>
  <si>
    <t>3M X</t>
    <phoneticPr fontId="1" type="noConversion"/>
  </si>
  <si>
    <t>3M, 6M X</t>
    <phoneticPr fontId="1" type="noConversion"/>
  </si>
  <si>
    <t>00032328</t>
    <phoneticPr fontId="1" type="noConversion"/>
  </si>
  <si>
    <t>00032329</t>
    <phoneticPr fontId="1" type="noConversion"/>
  </si>
  <si>
    <t>00032332</t>
    <phoneticPr fontId="1" type="noConversion"/>
  </si>
  <si>
    <t>00032330</t>
    <phoneticPr fontId="1" type="noConversion"/>
  </si>
  <si>
    <t>00032331</t>
    <phoneticPr fontId="1" type="noConversion"/>
  </si>
  <si>
    <t>00032333</t>
    <phoneticPr fontId="1" type="noConversion"/>
  </si>
  <si>
    <t>00032335</t>
    <phoneticPr fontId="1" type="noConversion"/>
  </si>
  <si>
    <t>00032334</t>
    <phoneticPr fontId="1" type="noConversion"/>
  </si>
  <si>
    <t>00032336</t>
    <phoneticPr fontId="1" type="noConversion"/>
  </si>
  <si>
    <t>분석용</t>
  </si>
  <si>
    <t>레이블 3차</t>
  </si>
  <si>
    <t>레이블 2차</t>
  </si>
  <si>
    <t>레이블 1차</t>
  </si>
  <si>
    <t>레이블 1차 시험용</t>
    <phoneticPr fontId="1" type="noConversion"/>
  </si>
  <si>
    <t>A459</t>
    <phoneticPr fontId="1" type="noConversion"/>
  </si>
  <si>
    <t>A461</t>
    <phoneticPr fontId="1" type="noConversion"/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</si>
  <si>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</si>
  <si>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</si>
  <si>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</si>
  <si>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</si>
  <si>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</si>
  <si>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</si>
  <si>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</si>
  <si>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</si>
  <si>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</si>
  <si>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</si>
  <si>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</si>
  <si>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</si>
  <si>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</si>
  <si>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</si>
  <si>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</si>
  <si>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</si>
  <si>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</si>
  <si>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</si>
  <si>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</si>
  <si>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</si>
  <si>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</si>
  <si>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</si>
  <si>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</si>
  <si>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</si>
  <si>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</si>
  <si>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</si>
  <si>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</si>
  <si>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</si>
  <si>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</si>
  <si>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</si>
  <si>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</si>
  <si>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</si>
  <si>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</si>
  <si>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</si>
  <si>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</si>
  <si>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</si>
  <si>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</si>
  <si>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</si>
  <si>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</si>
  <si>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</si>
  <si>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</si>
  <si>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</si>
  <si>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</si>
  <si>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</si>
  <si>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</si>
  <si>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</si>
  <si>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</si>
  <si>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</si>
  <si>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</si>
  <si>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</si>
  <si>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</si>
  <si>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</si>
  <si>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</si>
  <si>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</si>
  <si>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</si>
  <si>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</si>
  <si>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</si>
  <si>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</si>
  <si>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</si>
  <si>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</si>
  <si>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</si>
  <si>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</si>
  <si>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</si>
  <si>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2020-04-20(A463)</t>
    <phoneticPr fontId="1" type="noConversion"/>
  </si>
  <si>
    <t>수술명</t>
    <phoneticPr fontId="1" type="noConversion"/>
  </si>
  <si>
    <t>Tympanoplasty</t>
    <phoneticPr fontId="1" type="noConversion"/>
  </si>
  <si>
    <t>PORP</t>
    <phoneticPr fontId="1" type="noConversion"/>
  </si>
  <si>
    <t>[R]Tympanoplasty(overunderlay)</t>
    <phoneticPr fontId="1" type="noConversion"/>
  </si>
  <si>
    <t>[R]OC; [R]PORP(T0.5+0.5); [R]Tympanoplasty; [R]Attic reconstruction(Cartilage); [R]Mastoid obliteration(Cartilage+IBF)(endoscope-assisted)</t>
    <phoneticPr fontId="1" type="noConversion"/>
  </si>
  <si>
    <t>PORP</t>
  </si>
  <si>
    <t>[R]Tympanoplasty(rev.); [R]Attic reconstruction; [R]Mastoid obliteration(Cartilage+IBF); [R]CSF leakage repair(endoscopy-assisted)</t>
    <phoneticPr fontId="1" type="noConversion"/>
  </si>
  <si>
    <t>[L]Tympanoplasty(overunderlay)</t>
    <phoneticPr fontId="1" type="noConversion"/>
  </si>
  <si>
    <r>
      <t xml:space="preserve">[R]OC; [R]PORP(T1.0+0.5); [R]Tympanoplasty(overunderlay)(umbo-anchoring); [R]Attic reconstruction; [R]Mastoid </t>
    </r>
    <r>
      <rPr>
        <sz val="10"/>
        <rFont val="맑은 고딕"/>
        <family val="3"/>
        <charset val="129"/>
        <scheme val="minor"/>
      </rPr>
      <t>obliteration(Cartilage+IBF)(endoscopy-assisted)(rev.)</t>
    </r>
    <phoneticPr fontId="1" type="noConversion"/>
  </si>
  <si>
    <t>TORP</t>
    <phoneticPr fontId="1" type="noConversion"/>
  </si>
  <si>
    <t>L]Tympanoplasty(overlay); [L]Attic reconstruction; [L]Mastoid obliteration(Cartilage+IBF)(endoscopy-assisted)</t>
    <phoneticPr fontId="1" type="noConversion"/>
  </si>
  <si>
    <t>[R]Tympanoplasty(overunderlay); [R]Mastoid obliteration(Cartilage+IBF); [R]LSCC fistula repiar(endoscopy-assisted)</t>
    <phoneticPr fontId="1" type="noConversion"/>
  </si>
  <si>
    <t>[L]Tympanoplasty; [L]Mastoid obliteration(Cartilage+IBF)(endoscopy-assisted)</t>
    <phoneticPr fontId="1" type="noConversion"/>
  </si>
  <si>
    <t>[L]Tympanoplasty(overunderlay); [L]Attic reconstruction; [L]Mastoid obliteration(Cartilage+IBF)(endoscopy-assisted)</t>
  </si>
  <si>
    <t>[R]Tympanoplasty(overunderlay, umbo-anchoring)</t>
    <phoneticPr fontId="1" type="noConversion"/>
  </si>
  <si>
    <t>TORP</t>
  </si>
  <si>
    <t>[R]OC; [R]TORP(T3.5+0.5); [R]Tympanoplasty(overunderlay); [R]Attic reconstruction; [R]Mastoid obliteration(Cartilage+IBF)(rev.)(endoscopy-assisted)</t>
    <phoneticPr fontId="1" type="noConversion"/>
  </si>
  <si>
    <t>[L]Tympanoplasty(overunderlay); [L]Attic reconstruction; [L]Mastoid obliteration(Cartilage+IBF)(endoscopy-assited); [L]LSCC fistula repair</t>
    <phoneticPr fontId="1" type="noConversion"/>
  </si>
  <si>
    <t>[L]Tympanoplasty; [L]Mastoid obliteration(Cartilage+IBF)(endoscope-assisted)</t>
    <phoneticPr fontId="1" type="noConversion"/>
  </si>
  <si>
    <t>T3</t>
  </si>
  <si>
    <t>20200717 (L)OC c T3, Chorda:sacrificed, post.fossa dura:진주종이 adhesion+ 타코콤으로 막음,partial overlay, incus약간 erosion, incus &amp; malleus head 제거함, e-tube:obstruction--&gt;patent 하게 함.내시경으로 sinus tympani부분의 CG 제거함.</t>
  </si>
  <si>
    <t>[R]Tympanoplasty; [R]Attic reconstruction; [R]Mastoid obliteration(IBF+cartilage)(endoscopy-assisted)</t>
    <phoneticPr fontId="1" type="noConversion"/>
  </si>
  <si>
    <t>[L]Tympanoplasty; [L]Mastoid obliteration(Cartilage+IBF)(endoscopic-assisted)</t>
    <phoneticPr fontId="1" type="noConversion"/>
  </si>
  <si>
    <t>[R]OC; [R]PORP(T1.0+0.5); [R]Tympanoplasty(overunderlay, umbo-anchoring); [R]Attic reconstruction; [R]Mastoid obliteration(Cartilage+IBF)(endoscopy-assisted); [L]M&amp;T</t>
    <phoneticPr fontId="1" type="noConversion"/>
  </si>
  <si>
    <t>[R]OC; [R]PORP(T0.5+0.5); [R]Tympanoplasty(overunderlay); [R]Attic reconstruction; [R]Mastoid obliteration(Cartilage+IBF)(endoscopy-assisted)</t>
    <phoneticPr fontId="1" type="noConversion"/>
  </si>
  <si>
    <t>[L]OC; [L]T3(underlay); [L]Mastoid obliteration(Cartilage+IBF)(endoscopy-assisted)</t>
    <phoneticPr fontId="1" type="noConversion"/>
  </si>
  <si>
    <t>T3</t>
    <phoneticPr fontId="1" type="noConversion"/>
  </si>
  <si>
    <t>[R]T3(underlay); [R]Attic reconstruction(Cartilage); [R]Mastoid obliteration(Cartilage+IBF)(endoscope-assisted)</t>
    <phoneticPr fontId="1" type="noConversion"/>
  </si>
  <si>
    <t>T3(overunderlay)</t>
    <phoneticPr fontId="1" type="noConversion"/>
  </si>
  <si>
    <t xml:space="preserve">[R]OC; [R]PORP(T1.0+0.5); [R]Tympanoplasty(overunderlay); [R]Attic reconstruction; [R]Mastoid obliteration(Cartilage+IBF); [R]LSCC fistula repair(endoscopy-assisted) </t>
    <phoneticPr fontId="1" type="noConversion"/>
  </si>
  <si>
    <t>T1</t>
    <phoneticPr fontId="1" type="noConversion"/>
  </si>
  <si>
    <t>[L]T1(overunderlay); [L]Mastoid obliteration(Cartilage+IBF)(endoscope-assisted)</t>
    <phoneticPr fontId="1" type="noConversion"/>
  </si>
  <si>
    <t>R]Tympanoplasty; Mastoid obliteration(Cartilage+IBF)(endoscopy-assisted)</t>
    <phoneticPr fontId="1" type="noConversion"/>
  </si>
  <si>
    <t>20200310 (L)OC  c T3, Overlay, chorda:sacrificed, e-tube:obstruction, Tegmen masotid:dehiscecnce--&gt;타코콤으로 막음, mastoid obliteration , Incus의 lenticular process만 남음, malleus 제거, stapes주위에 TSP 많아서 움직임 저하됨 FN: Intact</t>
  </si>
  <si>
    <t>[L]Tympanoplasty(overunderlay, umbo-anchoring)</t>
    <phoneticPr fontId="1" type="noConversion"/>
  </si>
  <si>
    <t>[R]OC(rev.); [R]T3(overunderlay)(rev.); [R]Attic reconstruction; [R]Mastoid obliteration(Cartilage+IBF)(endoscopy-assisted)</t>
    <phoneticPr fontId="1" type="noConversion"/>
  </si>
  <si>
    <t>[L]OC; [L]PORP(T0.5+0.5); [L]Tympanoplasty; [L]Attic reconstruction; [L]Mastoid obliteration(Cartilage+IBF)</t>
    <phoneticPr fontId="1" type="noConversion"/>
  </si>
  <si>
    <t>[R]Tympanoplasty; Mastoid obliteration(Cartilage+IBF)(endoscopy-assisted)</t>
    <phoneticPr fontId="1" type="noConversion"/>
  </si>
  <si>
    <t>20200324 (R)OC c T3,-Underlay, Mastoid obliteration with(Cartilage &amp;IBF),E-tube: memb으로 덮혀 있어서 제거함. Tympanic segment:exposured, Malleua &amp; incus: 없음,stapas 주위에 육아종 심함., MCF: 타코콤으로 박음.sinus tympani 부분도 연골로 일부분막음</t>
  </si>
  <si>
    <t>[L]Tympanoplasty(overunderlay); [L]Attic reconstruction; [L]Mastoid 
obliteration(Cartilage+IBF)(endoscopy-assisted)&gt;</t>
    <phoneticPr fontId="1" type="noConversion"/>
  </si>
  <si>
    <t>20200514 (L)OC c T3, MCF repair with tachocom,perichondrium,glue, chorda:sacrificed, endoscopy-assisted,e-tube:obstruction,mastoid obiteration with cartilage &amp; IBF,Cartilage cap</t>
  </si>
  <si>
    <t>T4</t>
  </si>
  <si>
    <t>20200423 (L)OC(Revision) c T4(periosteum), LSCC fistula repair(2mm, membranous 열림) using perichondrim, bone paste, and cartilgae, glue, e-tube:fibrosis로 막혀서 뚫음, chorda: not identified, mastoid oblteration with IBF &amp; Cartilage</t>
    <phoneticPr fontId="1" type="noConversion"/>
  </si>
  <si>
    <t>[L]Tympanoplasty(overunderlay); [L]Attic reconstruction; [L]Mastoid obliteration(Cartilage+IBF)(endoscopy-assisted)</t>
    <phoneticPr fontId="1" type="noConversion"/>
  </si>
  <si>
    <t>[R]Tympanoplasty(overunderlay)(umbo-anchoring)</t>
    <phoneticPr fontId="1" type="noConversion"/>
  </si>
  <si>
    <t>[R]T3; Mastoid obliteration(Cartilage)(endoscopy-assisted)</t>
    <phoneticPr fontId="1" type="noConversion"/>
  </si>
  <si>
    <t>[R]Tympanoplasty; Mastoid obliteration(Cartilage+IBF); [R]SSCC fistula repair(umbo-anchoring, endoscopy-assisted)</t>
    <phoneticPr fontId="1" type="noConversion"/>
  </si>
  <si>
    <t>T4</t>
    <phoneticPr fontId="1" type="noConversion"/>
  </si>
  <si>
    <t>[L]T4(underlay); [L]Facial nerve decompression; [L]LSCC repair</t>
    <phoneticPr fontId="1" type="noConversion"/>
  </si>
  <si>
    <t>[R]Tympanoplasty(overunderlay)(rev.)</t>
    <phoneticPr fontId="1" type="noConversion"/>
  </si>
  <si>
    <t>[R]OC; [R]PORP(T1.5+0.5); [R]Tympanoplasty(overunderlay)(endoscopy-assisted); [R]Mastoid obliteration(Cartilage+IBF); [L]M&amp;T(rev.)</t>
    <phoneticPr fontId="1" type="noConversion"/>
  </si>
  <si>
    <t>[R]Tympanoplasty; [R]Attic reconstruction(Cartilage); [R]Mastoid obliteration(Cartilage+IBF)(endoscope-assisted); [L]M&amp;T</t>
    <phoneticPr fontId="1" type="noConversion"/>
  </si>
  <si>
    <t>T0</t>
    <phoneticPr fontId="1" type="noConversion"/>
  </si>
  <si>
    <t>[R]T0(overlay); Mastoid obliteration(Cartilage+IBF)(endoscopy-assisted)</t>
    <phoneticPr fontId="1" type="noConversion"/>
  </si>
  <si>
    <t>[L]OC; [L]PORP(T0.5+0.5); [L]Tympanoplasty(overunderlay); [L]Mastoid obliteration(cartilage+IBF)(endoscopy-assisted)</t>
    <phoneticPr fontId="1" type="noConversion"/>
  </si>
  <si>
    <t>[R]Tympanoplasty; [R]Attic reconstruction(Cartilage); [R]Mastoid obliteration(Cartilage+IBF)(endoscope-assisted)</t>
    <phoneticPr fontId="1" type="noConversion"/>
  </si>
  <si>
    <t>Canal down mastoidectomy &lt;[L]OC; [L]T3(overunderlay); [L]Mastoid tip amputation; 
[L]Attic reconstruction; [L]Mastoid obliteration(Cartilage+IBF); [L]CSF leakage repair&gt;
Tympanoplasty type 3</t>
    <phoneticPr fontId="1" type="noConversion"/>
  </si>
  <si>
    <t>[R]Excision(Translabyrinthine app.); [R]Mastoid 
obliteration(Muscle+Fat); [R]Posterior tympanotomy</t>
    <phoneticPr fontId="1" type="noConversion"/>
  </si>
  <si>
    <t xml:space="preserve"> Canal down mastoidectomy &lt;[L]OC; [L]TORP(T4.0+0.5)(rev.); 
 [L]Tympanoplasty(underlay)(rev.); [L]Attic reconstruction; [L]Mastoid 
 obliteration(Cartilage+IBF)(endoscopy-assisted); [R]M&amp;T&gt;
 Tympanoplasty</t>
    <phoneticPr fontId="1" type="noConversion"/>
  </si>
  <si>
    <t xml:space="preserve"> Canal down mastoidectomy &lt;[R]OC; [R]T4; Mastoid 
 obliteration(Cartilage+IBF)(endoscopy-assisted)&gt;
 Tympanoplasty</t>
    <phoneticPr fontId="1" type="noConversion"/>
  </si>
  <si>
    <t xml:space="preserve"> Revision canal down mastoidectomy &lt;[R]OC(rev.); [R]T3(rev.); [R]Attic reconstruction; 
 [R]Mastoid obliteration(Cartilage+Bone pâté)(rev.)(endoscopy-assisted)&gt;</t>
    <phoneticPr fontId="1" type="noConversion"/>
  </si>
  <si>
    <t xml:space="preserve"> Canal down mastoidectomy &lt;[L]OC; [L]PORP(0.5+0.5); 
 [L]Tympanoplasty(overunderlay)(umbo-anchoring); [L]Attic reconstruction; [L]Mastoid 
 obliteration(Cartilage+IBF)(endoscopy assisted); [R]M&amp;T&gt;</t>
    <phoneticPr fontId="1" type="noConversion"/>
  </si>
  <si>
    <t>Canal down mastoidectomy &lt;[L]OC; [L]TORP(T3.5+0.5); [L]Tympanoplasty; Mastoid 
obliteration(Cartilage+IBF)(endoscopy-assisted)&gt;</t>
    <phoneticPr fontId="1" type="noConversion"/>
  </si>
  <si>
    <t>Canal down mastoidectomy &lt;[L]OC; [L]PORP(T1.5+0.5); [L]Tympanoplasty; Mastoid 
obliteration(Cartilage+IBF)(endoscopy-assisted)&gt;</t>
    <phoneticPr fontId="1" type="noConversion"/>
  </si>
  <si>
    <t xml:space="preserve"> Canal down mastoidectomy &lt;[L]OC; [L]PORP(T0.5+0.5); 
 [L]Tympanoplasty(overunderlay, umbo-anchoring); [L]Attic reconstruction; [L]Mastoid 
 obliteration(endoscopy-assisted)&gt;</t>
    <phoneticPr fontId="1" type="noConversion"/>
  </si>
  <si>
    <t xml:space="preserve">[L]Excision(Translabyrinthine app.); [L]Mastoid </t>
  </si>
  <si>
    <t xml:space="preserve">  Lateral sub-occipital craniotomy and tumor removal of brain (Right) &lt;O/C &amp; T/R 
  (Translabyrinth app.)&gt;</t>
    <phoneticPr fontId="1" type="noConversion"/>
  </si>
  <si>
    <t>[R]T1(overlay)(endoscopy-assisted)</t>
    <phoneticPr fontId="1" type="noConversion"/>
  </si>
  <si>
    <t>[R]T1(overunderlay)(endoscopy-assisted)</t>
    <phoneticPr fontId="1" type="noConversion"/>
  </si>
  <si>
    <t>[L]T1(overunderlay)(endoscopy-assisted)</t>
    <phoneticPr fontId="1" type="noConversion"/>
  </si>
  <si>
    <t>[L]T1(overunderlay, umbo-anchoring)(endoscopy-assisted)</t>
    <phoneticPr fontId="1" type="noConversion"/>
  </si>
  <si>
    <t>[R]T1(overunderlay)(umbo-anchoring)(endoscopy-assisted)</t>
    <phoneticPr fontId="1" type="noConversion"/>
  </si>
  <si>
    <t>[R]ICW; [R]T1(rev.)(overlay)(endoscopy-assisted)</t>
  </si>
  <si>
    <t>[R]ICW; [R]T1(overunderlay)(endoscopy-assisted)</t>
  </si>
  <si>
    <t>[L]ICW; [L]T1(umbo-anchoring)(overunderlay)(endoscopy-assisted)</t>
    <phoneticPr fontId="1" type="noConversion"/>
  </si>
  <si>
    <t>[L]ICW; [L]T1(overunderlay)(endoscopy-assisted)</t>
  </si>
  <si>
    <t>L]T1(overunderlay)(endoscopy-assisted)</t>
    <phoneticPr fontId="1" type="noConversion"/>
  </si>
  <si>
    <t>[L]T1(overunderlay)(umbo-anchoring)(endoscopy-assisted)</t>
    <phoneticPr fontId="1" type="noConversion"/>
  </si>
  <si>
    <t>C257P1</t>
    <phoneticPr fontId="1" type="noConversion"/>
  </si>
  <si>
    <t>C257S1</t>
    <phoneticPr fontId="9" type="noConversion"/>
  </si>
  <si>
    <t>C257P2</t>
    <phoneticPr fontId="1" type="noConversion"/>
  </si>
  <si>
    <t>C257S2</t>
    <phoneticPr fontId="1" type="noConversion"/>
  </si>
  <si>
    <t>C257P3</t>
    <phoneticPr fontId="1" type="noConversion"/>
  </si>
  <si>
    <t>C257S3</t>
    <phoneticPr fontId="1" type="noConversion"/>
  </si>
  <si>
    <t>C257P4</t>
    <phoneticPr fontId="1" type="noConversion"/>
  </si>
  <si>
    <t>C257S4</t>
    <phoneticPr fontId="1" type="noConversion"/>
  </si>
  <si>
    <t>C269P1</t>
    <phoneticPr fontId="9" type="noConversion"/>
  </si>
  <si>
    <t>C269S1</t>
    <phoneticPr fontId="9" type="noConversion"/>
  </si>
  <si>
    <t>C269P2</t>
    <phoneticPr fontId="1" type="noConversion"/>
  </si>
  <si>
    <t>C269S2</t>
    <phoneticPr fontId="1" type="noConversion"/>
  </si>
  <si>
    <t>C269P3</t>
    <phoneticPr fontId="1" type="noConversion"/>
  </si>
  <si>
    <t>C269S3</t>
    <phoneticPr fontId="1" type="noConversion"/>
  </si>
  <si>
    <t>C269P4</t>
    <phoneticPr fontId="1" type="noConversion"/>
  </si>
  <si>
    <t>C269S4</t>
    <phoneticPr fontId="1" type="noConversion"/>
  </si>
  <si>
    <t>C274P1</t>
    <phoneticPr fontId="9" type="noConversion"/>
  </si>
  <si>
    <t>C274S1</t>
    <phoneticPr fontId="9" type="noConversion"/>
  </si>
  <si>
    <t>C274PS2</t>
    <phoneticPr fontId="1" type="noConversion"/>
  </si>
  <si>
    <t>C274P3</t>
    <phoneticPr fontId="1" type="noConversion"/>
  </si>
  <si>
    <t>C274S3</t>
    <phoneticPr fontId="1" type="noConversion"/>
  </si>
  <si>
    <t>C274PS4</t>
    <phoneticPr fontId="1" type="noConversion"/>
  </si>
  <si>
    <t>C285P1</t>
    <phoneticPr fontId="9" type="noConversion"/>
  </si>
  <si>
    <t>C285S1</t>
    <phoneticPr fontId="9" type="noConversion"/>
  </si>
  <si>
    <t>C285P2</t>
    <phoneticPr fontId="1" type="noConversion"/>
  </si>
  <si>
    <t>C285S2</t>
    <phoneticPr fontId="1" type="noConversion"/>
  </si>
  <si>
    <t>C285P3</t>
    <phoneticPr fontId="1" type="noConversion"/>
  </si>
  <si>
    <t>C285S3</t>
    <phoneticPr fontId="1" type="noConversion"/>
  </si>
  <si>
    <t>C285P4</t>
    <phoneticPr fontId="1" type="noConversion"/>
  </si>
  <si>
    <t>C285S4</t>
    <phoneticPr fontId="1" type="noConversion"/>
  </si>
  <si>
    <t>C195P1</t>
    <phoneticPr fontId="9" type="noConversion"/>
  </si>
  <si>
    <t>C195S1</t>
    <phoneticPr fontId="9" type="noConversion"/>
  </si>
  <si>
    <t>C195P2</t>
    <phoneticPr fontId="1" type="noConversion"/>
  </si>
  <si>
    <t>C195S2</t>
    <phoneticPr fontId="1" type="noConversion"/>
  </si>
  <si>
    <t>C195P3</t>
    <phoneticPr fontId="1" type="noConversion"/>
  </si>
  <si>
    <t>C195S3</t>
    <phoneticPr fontId="1" type="noConversion"/>
  </si>
  <si>
    <t>C195P4</t>
    <phoneticPr fontId="1" type="noConversion"/>
  </si>
  <si>
    <t>C195S4</t>
    <phoneticPr fontId="1" type="noConversion"/>
  </si>
  <si>
    <t>C197P1</t>
    <phoneticPr fontId="1" type="noConversion"/>
  </si>
  <si>
    <t>C197S1</t>
    <phoneticPr fontId="9" type="noConversion"/>
  </si>
  <si>
    <t>C197P2</t>
    <phoneticPr fontId="1" type="noConversion"/>
  </si>
  <si>
    <t>C197PS2</t>
    <phoneticPr fontId="1" type="noConversion"/>
  </si>
  <si>
    <t>C197P3</t>
    <phoneticPr fontId="1" type="noConversion"/>
  </si>
  <si>
    <t>C197S3</t>
    <phoneticPr fontId="1" type="noConversion"/>
  </si>
  <si>
    <t>C197P4</t>
    <phoneticPr fontId="1" type="noConversion"/>
  </si>
  <si>
    <t>C197S4</t>
    <phoneticPr fontId="1" type="noConversion"/>
  </si>
  <si>
    <t>C199P1</t>
    <phoneticPr fontId="1" type="noConversion"/>
  </si>
  <si>
    <t>C199S1</t>
    <phoneticPr fontId="9" type="noConversion"/>
  </si>
  <si>
    <t>C199P2</t>
    <phoneticPr fontId="1" type="noConversion"/>
  </si>
  <si>
    <t>C199S2</t>
    <phoneticPr fontId="1" type="noConversion"/>
  </si>
  <si>
    <t>C199P3</t>
    <phoneticPr fontId="1" type="noConversion"/>
  </si>
  <si>
    <t>C199S3</t>
    <phoneticPr fontId="1" type="noConversion"/>
  </si>
  <si>
    <t>C199P4</t>
    <phoneticPr fontId="1" type="noConversion"/>
  </si>
  <si>
    <t>C199S4</t>
    <phoneticPr fontId="1" type="noConversion"/>
  </si>
  <si>
    <t>C201P1</t>
    <phoneticPr fontId="1" type="noConversion"/>
  </si>
  <si>
    <t>C201S1</t>
    <phoneticPr fontId="9" type="noConversion"/>
  </si>
  <si>
    <t>C201P2</t>
    <phoneticPr fontId="1" type="noConversion"/>
  </si>
  <si>
    <t>C201S2</t>
    <phoneticPr fontId="1" type="noConversion"/>
  </si>
  <si>
    <t>C201P3</t>
    <phoneticPr fontId="1" type="noConversion"/>
  </si>
  <si>
    <t>C201S3</t>
    <phoneticPr fontId="1" type="noConversion"/>
  </si>
  <si>
    <t>C201P4</t>
    <phoneticPr fontId="1" type="noConversion"/>
  </si>
  <si>
    <t>C201S4</t>
    <phoneticPr fontId="1" type="noConversion"/>
  </si>
  <si>
    <t>C211P1</t>
    <phoneticPr fontId="1" type="noConversion"/>
  </si>
  <si>
    <t>C211S1</t>
    <phoneticPr fontId="9" type="noConversion"/>
  </si>
  <si>
    <t>C211P2</t>
    <phoneticPr fontId="1" type="noConversion"/>
  </si>
  <si>
    <t>C211S2</t>
    <phoneticPr fontId="1" type="noConversion"/>
  </si>
  <si>
    <t>C211P3</t>
    <phoneticPr fontId="1" type="noConversion"/>
  </si>
  <si>
    <t>C211S3</t>
    <phoneticPr fontId="1" type="noConversion"/>
  </si>
  <si>
    <t>C211PS4</t>
    <phoneticPr fontId="1" type="noConversion"/>
  </si>
  <si>
    <t>C134P1</t>
    <phoneticPr fontId="9" type="noConversion"/>
  </si>
  <si>
    <t>C134S1</t>
  </si>
  <si>
    <t>C134P2</t>
    <phoneticPr fontId="1" type="noConversion"/>
  </si>
  <si>
    <t>C134S2</t>
    <phoneticPr fontId="1" type="noConversion"/>
  </si>
  <si>
    <t>C134P3</t>
    <phoneticPr fontId="1" type="noConversion"/>
  </si>
  <si>
    <t>C134S3</t>
    <phoneticPr fontId="1" type="noConversion"/>
  </si>
  <si>
    <t>C134P4</t>
    <phoneticPr fontId="1" type="noConversion"/>
  </si>
  <si>
    <t>C134S4</t>
    <phoneticPr fontId="1" type="noConversion"/>
  </si>
  <si>
    <t>C140P1</t>
    <phoneticPr fontId="9" type="noConversion"/>
  </si>
  <si>
    <t>C140S1</t>
    <phoneticPr fontId="9" type="noConversion"/>
  </si>
  <si>
    <t>C140P2</t>
    <phoneticPr fontId="1" type="noConversion"/>
  </si>
  <si>
    <t>C140S2</t>
    <phoneticPr fontId="1" type="noConversion"/>
  </si>
  <si>
    <t>C140P3</t>
    <phoneticPr fontId="1" type="noConversion"/>
  </si>
  <si>
    <t>C140S3</t>
    <phoneticPr fontId="1" type="noConversion"/>
  </si>
  <si>
    <t>C140P4</t>
    <phoneticPr fontId="1" type="noConversion"/>
  </si>
  <si>
    <t>C140S4</t>
    <phoneticPr fontId="1" type="noConversion"/>
  </si>
  <si>
    <t>C141P1</t>
    <phoneticPr fontId="9" type="noConversion"/>
  </si>
  <si>
    <t>C141S1</t>
    <phoneticPr fontId="9" type="noConversion"/>
  </si>
  <si>
    <t>C141P2</t>
    <phoneticPr fontId="1" type="noConversion"/>
  </si>
  <si>
    <t>C141P3</t>
    <phoneticPr fontId="1" type="noConversion"/>
  </si>
  <si>
    <t>C143P4</t>
    <phoneticPr fontId="1" type="noConversion"/>
  </si>
  <si>
    <t>C144P1</t>
    <phoneticPr fontId="9" type="noConversion"/>
  </si>
  <si>
    <t>C144S1</t>
    <phoneticPr fontId="9" type="noConversion"/>
  </si>
  <si>
    <t>C144P2</t>
    <phoneticPr fontId="1" type="noConversion"/>
  </si>
  <si>
    <t>C144S2</t>
    <phoneticPr fontId="1" type="noConversion"/>
  </si>
  <si>
    <t>C144P3</t>
    <phoneticPr fontId="1" type="noConversion"/>
  </si>
  <si>
    <t>C144S3</t>
    <phoneticPr fontId="1" type="noConversion"/>
  </si>
  <si>
    <t>C144P4</t>
    <phoneticPr fontId="1" type="noConversion"/>
  </si>
  <si>
    <t>C144S4</t>
    <phoneticPr fontId="1" type="noConversion"/>
  </si>
  <si>
    <t>C152PS1</t>
    <phoneticPr fontId="9" type="noConversion"/>
  </si>
  <si>
    <t>C152P2</t>
    <phoneticPr fontId="1" type="noConversion"/>
  </si>
  <si>
    <t>C152S2</t>
    <phoneticPr fontId="1" type="noConversion"/>
  </si>
  <si>
    <t>C152PS3</t>
    <phoneticPr fontId="1" type="noConversion"/>
  </si>
  <si>
    <t>C157P1</t>
    <phoneticPr fontId="9" type="noConversion"/>
  </si>
  <si>
    <t>C157S1</t>
    <phoneticPr fontId="9" type="noConversion"/>
  </si>
  <si>
    <t>C157P2</t>
    <phoneticPr fontId="1" type="noConversion"/>
  </si>
  <si>
    <t>C157S2</t>
    <phoneticPr fontId="1" type="noConversion"/>
  </si>
  <si>
    <t>C157P3</t>
    <phoneticPr fontId="1" type="noConversion"/>
  </si>
  <si>
    <t>C157S3</t>
    <phoneticPr fontId="1" type="noConversion"/>
  </si>
  <si>
    <t>C157P4</t>
    <phoneticPr fontId="1" type="noConversion"/>
  </si>
  <si>
    <t>C157S4</t>
    <phoneticPr fontId="1" type="noConversion"/>
  </si>
  <si>
    <t>C158P1</t>
    <phoneticPr fontId="9" type="noConversion"/>
  </si>
  <si>
    <t>C158S1</t>
    <phoneticPr fontId="9" type="noConversion"/>
  </si>
  <si>
    <t>C158PS2</t>
    <phoneticPr fontId="1" type="noConversion"/>
  </si>
  <si>
    <t>C158P3</t>
    <phoneticPr fontId="1" type="noConversion"/>
  </si>
  <si>
    <t>C158S3</t>
    <phoneticPr fontId="1" type="noConversion"/>
  </si>
  <si>
    <t>C158P4</t>
    <phoneticPr fontId="1" type="noConversion"/>
  </si>
  <si>
    <t>C158S4</t>
    <phoneticPr fontId="1" type="noConversion"/>
  </si>
  <si>
    <t>C163PS1</t>
    <phoneticPr fontId="9" type="noConversion"/>
  </si>
  <si>
    <t>C163P2</t>
    <phoneticPr fontId="1" type="noConversion"/>
  </si>
  <si>
    <t>C163S2</t>
    <phoneticPr fontId="1" type="noConversion"/>
  </si>
  <si>
    <t>C163P3</t>
    <phoneticPr fontId="1" type="noConversion"/>
  </si>
  <si>
    <t>C163S3</t>
    <phoneticPr fontId="1" type="noConversion"/>
  </si>
  <si>
    <t>C163P4</t>
    <phoneticPr fontId="1" type="noConversion"/>
  </si>
  <si>
    <t>C163S4</t>
    <phoneticPr fontId="1" type="noConversion"/>
  </si>
  <si>
    <t>C164P1</t>
    <phoneticPr fontId="9" type="noConversion"/>
  </si>
  <si>
    <t>C164S1</t>
    <phoneticPr fontId="9" type="noConversion"/>
  </si>
  <si>
    <t>C164P2</t>
    <phoneticPr fontId="1" type="noConversion"/>
  </si>
  <si>
    <t>C164S2</t>
    <phoneticPr fontId="1" type="noConversion"/>
  </si>
  <si>
    <t>C164P3</t>
    <phoneticPr fontId="1" type="noConversion"/>
  </si>
  <si>
    <t>C164S3</t>
    <phoneticPr fontId="1" type="noConversion"/>
  </si>
  <si>
    <t>C164P4</t>
    <phoneticPr fontId="1" type="noConversion"/>
  </si>
  <si>
    <t>C164S4</t>
    <phoneticPr fontId="1" type="noConversion"/>
  </si>
  <si>
    <t>I1</t>
    <phoneticPr fontId="1" type="noConversion"/>
  </si>
  <si>
    <t>I2</t>
  </si>
  <si>
    <t>I4</t>
  </si>
  <si>
    <t>I5</t>
  </si>
  <si>
    <t>I6</t>
  </si>
  <si>
    <t>I7</t>
  </si>
  <si>
    <t>I8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</si>
  <si>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</si>
  <si>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</si>
  <si>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</si>
  <si>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</si>
  <si>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</si>
  <si>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</si>
  <si>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</si>
  <si>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</si>
  <si>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</si>
  <si>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</si>
  <si>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</si>
  <si>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</si>
  <si>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F</t>
  </si>
  <si>
    <t>M</t>
  </si>
  <si>
    <t>C111P1</t>
    <phoneticPr fontId="9" type="noConversion"/>
  </si>
  <si>
    <t>C111S1</t>
    <phoneticPr fontId="9" type="noConversion"/>
  </si>
  <si>
    <t>C111P2</t>
    <phoneticPr fontId="1" type="noConversion"/>
  </si>
  <si>
    <t>C111S2</t>
    <phoneticPr fontId="1" type="noConversion"/>
  </si>
  <si>
    <t>C111P3</t>
    <phoneticPr fontId="1" type="noConversion"/>
  </si>
  <si>
    <t>C111S3</t>
    <phoneticPr fontId="1" type="noConversion"/>
  </si>
  <si>
    <t>C114P1</t>
    <phoneticPr fontId="9" type="noConversion"/>
  </si>
  <si>
    <t>C114S1</t>
    <phoneticPr fontId="9" type="noConversion"/>
  </si>
  <si>
    <t>C114P2</t>
    <phoneticPr fontId="1" type="noConversion"/>
  </si>
  <si>
    <t>C114S2</t>
    <phoneticPr fontId="1" type="noConversion"/>
  </si>
  <si>
    <t>C114P3</t>
    <phoneticPr fontId="1" type="noConversion"/>
  </si>
  <si>
    <t>C114S3</t>
    <phoneticPr fontId="1" type="noConversion"/>
  </si>
  <si>
    <t>C114P4</t>
    <phoneticPr fontId="1" type="noConversion"/>
  </si>
  <si>
    <t>C114S4</t>
    <phoneticPr fontId="1" type="noConversion"/>
  </si>
  <si>
    <t>C117P1</t>
    <phoneticPr fontId="9" type="noConversion"/>
  </si>
  <si>
    <t>C117S1</t>
    <phoneticPr fontId="9" type="noConversion"/>
  </si>
  <si>
    <t>C117P2</t>
    <phoneticPr fontId="1" type="noConversion"/>
  </si>
  <si>
    <t>C117S2</t>
    <phoneticPr fontId="1" type="noConversion"/>
  </si>
  <si>
    <t>C117PS3</t>
    <phoneticPr fontId="1" type="noConversion"/>
  </si>
  <si>
    <t>[L]ICW; [L]T1(overunderlay)(endoscopy-assisted)</t>
    <phoneticPr fontId="1" type="noConversion"/>
  </si>
  <si>
    <t>C97PS1</t>
    <phoneticPr fontId="9" type="noConversion"/>
  </si>
  <si>
    <t>C97P2</t>
    <phoneticPr fontId="9" type="noConversion"/>
  </si>
  <si>
    <t>C97S2</t>
    <phoneticPr fontId="9" type="noConversion"/>
  </si>
  <si>
    <t>C97PS3</t>
    <phoneticPr fontId="9" type="noConversion"/>
  </si>
  <si>
    <t>C99PS1</t>
    <phoneticPr fontId="9" type="noConversion"/>
  </si>
  <si>
    <t>C99P2</t>
    <phoneticPr fontId="9" type="noConversion"/>
  </si>
  <si>
    <t>C99S2</t>
    <phoneticPr fontId="9" type="noConversion"/>
  </si>
  <si>
    <t>C99PS3</t>
    <phoneticPr fontId="9" type="noConversion"/>
  </si>
  <si>
    <t>C99P4</t>
    <phoneticPr fontId="9" type="noConversion"/>
  </si>
  <si>
    <t>C99PS4</t>
    <phoneticPr fontId="9" type="noConversion"/>
  </si>
  <si>
    <t>C101P1</t>
    <phoneticPr fontId="9" type="noConversion"/>
  </si>
  <si>
    <t>C101S1</t>
    <phoneticPr fontId="9" type="noConversion"/>
  </si>
  <si>
    <t>C101P2</t>
    <phoneticPr fontId="1" type="noConversion"/>
  </si>
  <si>
    <t>C101S2</t>
    <phoneticPr fontId="1" type="noConversion"/>
  </si>
  <si>
    <t>C101P3</t>
    <phoneticPr fontId="9" type="noConversion"/>
  </si>
  <si>
    <t>C101S3</t>
    <phoneticPr fontId="9" type="noConversion"/>
  </si>
  <si>
    <t>C101P4</t>
    <phoneticPr fontId="1" type="noConversion"/>
  </si>
  <si>
    <t>C101S4</t>
    <phoneticPr fontId="1" type="noConversion"/>
  </si>
  <si>
    <t>I23</t>
  </si>
  <si>
    <t>I24</t>
  </si>
  <si>
    <t>[L]Tympanoplasty(overlay)(endoscopy-assisted)(rev.)</t>
    <phoneticPr fontId="1" type="noConversion"/>
  </si>
  <si>
    <t>[R]T1(rev.)(overunderlay)(endoscopy-assisted)</t>
    <phoneticPr fontId="1" type="noConversion"/>
  </si>
  <si>
    <t>C247PS1</t>
    <phoneticPr fontId="1" type="noConversion"/>
  </si>
  <si>
    <t>C247P2</t>
    <phoneticPr fontId="1" type="noConversion"/>
  </si>
  <si>
    <t>C247S2</t>
    <phoneticPr fontId="1" type="noConversion"/>
  </si>
  <si>
    <t>C247P3</t>
    <phoneticPr fontId="1" type="noConversion"/>
  </si>
  <si>
    <t>C247S3</t>
    <phoneticPr fontId="1" type="noConversion"/>
  </si>
  <si>
    <t>C254PS1</t>
    <phoneticPr fontId="1" type="noConversion"/>
  </si>
  <si>
    <t>C254P2</t>
  </si>
  <si>
    <t>C254S2</t>
    <phoneticPr fontId="1" type="noConversion"/>
  </si>
  <si>
    <t>C254P3</t>
  </si>
  <si>
    <t>C254S3</t>
  </si>
  <si>
    <t>C254P4</t>
    <phoneticPr fontId="1" type="noConversion"/>
  </si>
  <si>
    <t>C254S4</t>
    <phoneticPr fontId="1" type="noConversion"/>
  </si>
  <si>
    <t>I27</t>
  </si>
  <si>
    <t>0 no perfo
1 25% 미만
2 25%~50% or two quadrants
3. 50%~75% or three quadrants
4. 70% 이상
기타 (textize)</t>
    <phoneticPr fontId="1" type="noConversion"/>
  </si>
  <si>
    <t>After</t>
    <phoneticPr fontId="1" type="noConversion"/>
  </si>
  <si>
    <t>수술 후 6M 이상</t>
    <phoneticPr fontId="1" type="noConversion"/>
  </si>
  <si>
    <t>고막상태_Lt</t>
    <phoneticPr fontId="1" type="noConversion"/>
  </si>
  <si>
    <t>고막상태_Rt</t>
    <phoneticPr fontId="1" type="noConversion"/>
  </si>
  <si>
    <t>[R]ICW; [R]T1(overunderlay)(endoscopy-assisted)</t>
    <phoneticPr fontId="1" type="noConversion"/>
  </si>
  <si>
    <t>[R]ICW; [R]T1(overunderlay)(endoscopy assisted)</t>
    <phoneticPr fontId="1" type="noConversion"/>
  </si>
  <si>
    <t>C325P1</t>
    <phoneticPr fontId="1" type="noConversion"/>
  </si>
  <si>
    <t>C325S1</t>
    <phoneticPr fontId="1" type="noConversion"/>
  </si>
  <si>
    <t>C325P2</t>
    <phoneticPr fontId="1" type="noConversion"/>
  </si>
  <si>
    <t>C325S2</t>
    <phoneticPr fontId="1" type="noConversion"/>
  </si>
  <si>
    <t>C325P3</t>
    <phoneticPr fontId="1" type="noConversion"/>
  </si>
  <si>
    <t>C325S3</t>
    <phoneticPr fontId="1" type="noConversion"/>
  </si>
  <si>
    <t>C315P1</t>
    <phoneticPr fontId="9" type="noConversion"/>
  </si>
  <si>
    <t>C315S1</t>
    <phoneticPr fontId="1" type="noConversion"/>
  </si>
  <si>
    <t>C315P2</t>
    <phoneticPr fontId="1" type="noConversion"/>
  </si>
  <si>
    <t>C315S2</t>
    <phoneticPr fontId="1" type="noConversion"/>
  </si>
  <si>
    <t>C315P3</t>
    <phoneticPr fontId="1" type="noConversion"/>
  </si>
  <si>
    <t>C315S3</t>
    <phoneticPr fontId="1" type="noConversion"/>
  </si>
  <si>
    <t>ICW T1</t>
    <phoneticPr fontId="1" type="noConversion"/>
  </si>
  <si>
    <t>Duration_ES-Surgery date</t>
    <phoneticPr fontId="1" type="noConversion"/>
  </si>
  <si>
    <t>[R]ICW; [R]T1(overunderlay)(endoscopy assisted)</t>
  </si>
  <si>
    <t>C300PS1</t>
  </si>
  <si>
    <t>C300P2</t>
    <phoneticPr fontId="1" type="noConversion"/>
  </si>
  <si>
    <t>C300S2</t>
    <phoneticPr fontId="1" type="noConversion"/>
  </si>
  <si>
    <t>C300P3</t>
    <phoneticPr fontId="1" type="noConversion"/>
  </si>
  <si>
    <t>C300S3</t>
    <phoneticPr fontId="1" type="noConversion"/>
  </si>
  <si>
    <t>ICW1</t>
    <phoneticPr fontId="1" type="noConversion"/>
  </si>
  <si>
    <t>ICW2</t>
    <phoneticPr fontId="1" type="noConversion"/>
  </si>
  <si>
    <t>ICW3</t>
    <phoneticPr fontId="1" type="noConversion"/>
  </si>
  <si>
    <t>ICW4</t>
    <phoneticPr fontId="1" type="noConversion"/>
  </si>
  <si>
    <t>ICW5</t>
    <phoneticPr fontId="1" type="noConversion"/>
  </si>
  <si>
    <t>ICW6</t>
    <phoneticPr fontId="1" type="noConversion"/>
  </si>
  <si>
    <t>ICW7</t>
    <phoneticPr fontId="1" type="noConversion"/>
  </si>
  <si>
    <t>ICW8</t>
    <phoneticPr fontId="1" type="noConversion"/>
  </si>
  <si>
    <t>'00044358</t>
  </si>
  <si>
    <t>'00044356</t>
  </si>
  <si>
    <t>'00044351</t>
  </si>
  <si>
    <t>'00044353</t>
  </si>
  <si>
    <t>'00044355</t>
  </si>
  <si>
    <t>'00044352</t>
  </si>
  <si>
    <t>'00044357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</si>
</sst>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/mm/dd;;"/>
    <numFmt numFmtId="178" formatCode="yyyy\-mm\-dd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algun Gothic"/>
      <family val="3"/>
      <charset val="129"/>
    </font>
    <font>
      <sz val="8"/>
      <name val="돋움"/>
      <family val="3"/>
      <charset val="129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11"/>
      <color rgb="FF000000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EAEA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4">
    <xf numFmtId="0" fontId="0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0" borderId="0"/>
  </cellStyleXfs>
  <cellXfs count="13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14" fontId="5" fillId="0" borderId="0" xfId="0" applyNumberFormat="1" applyFont="1" applyFill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77" fontId="8" fillId="8" borderId="0" xfId="0" applyNumberFormat="1" applyFont="1" applyFill="1">
      <alignment vertical="center"/>
    </xf>
    <xf numFmtId="178" fontId="8" fillId="8" borderId="0" xfId="0" applyNumberFormat="1" applyFont="1" applyFill="1" applyAlignment="1">
      <alignment vertical="center" wrapText="1"/>
    </xf>
    <xf numFmtId="178" fontId="8" fillId="8" borderId="0" xfId="0" applyNumberFormat="1" applyFont="1" applyFill="1">
      <alignment vertical="center"/>
    </xf>
    <xf numFmtId="177" fontId="8" fillId="8" borderId="0" xfId="0" applyNumberFormat="1" applyFont="1" applyFill="1" applyAlignment="1">
      <alignment vertical="center" wrapText="1"/>
    </xf>
    <xf numFmtId="177" fontId="10" fillId="8" borderId="0" xfId="0" applyNumberFormat="1" applyFont="1" applyFill="1">
      <alignment vertical="center"/>
    </xf>
    <xf numFmtId="178" fontId="10" fillId="8" borderId="0" xfId="0" applyNumberFormat="1" applyFont="1" applyFill="1">
      <alignment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14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7" fontId="10" fillId="0" borderId="0" xfId="0" applyNumberFormat="1" applyFont="1">
      <alignment vertical="center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1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0" fillId="11" borderId="0" xfId="0" applyFont="1" applyFill="1">
      <alignment vertical="center"/>
    </xf>
    <xf numFmtId="0" fontId="8" fillId="11" borderId="0" xfId="0" quotePrefix="1" applyFont="1" applyFill="1">
      <alignment vertical="center"/>
    </xf>
    <xf numFmtId="0" fontId="10" fillId="0" borderId="0" xfId="0" quotePrefix="1" applyFont="1">
      <alignment vertical="center"/>
    </xf>
    <xf numFmtId="177" fontId="12" fillId="0" borderId="0" xfId="0" applyNumberFormat="1" applyFont="1">
      <alignment vertical="center"/>
    </xf>
    <xf numFmtId="177" fontId="10" fillId="12" borderId="0" xfId="0" applyNumberFormat="1" applyFont="1" applyFill="1">
      <alignment vertical="center"/>
    </xf>
    <xf numFmtId="0" fontId="8" fillId="11" borderId="0" xfId="0" applyFont="1" applyFill="1">
      <alignment vertical="center"/>
    </xf>
    <xf numFmtId="0" fontId="10" fillId="0" borderId="1" xfId="0" applyFont="1" applyBorder="1">
      <alignment vertical="center"/>
    </xf>
    <xf numFmtId="0" fontId="8" fillId="14" borderId="0" xfId="0" applyFont="1" applyFill="1">
      <alignment vertical="center"/>
    </xf>
    <xf numFmtId="14" fontId="10" fillId="12" borderId="0" xfId="0" applyNumberFormat="1" applyFont="1" applyFill="1">
      <alignment vertical="center"/>
    </xf>
    <xf numFmtId="0" fontId="10" fillId="12" borderId="0" xfId="0" applyFont="1" applyFill="1">
      <alignment vertical="center"/>
    </xf>
    <xf numFmtId="177" fontId="10" fillId="13" borderId="0" xfId="0" applyNumberFormat="1" applyFont="1" applyFill="1">
      <alignment vertical="center"/>
    </xf>
    <xf numFmtId="14" fontId="8" fillId="0" borderId="0" xfId="0" applyNumberFormat="1" applyFont="1">
      <alignment vertical="center"/>
    </xf>
    <xf numFmtId="14" fontId="12" fillId="0" borderId="0" xfId="0" applyNumberFormat="1" applyFont="1">
      <alignment vertical="center"/>
    </xf>
    <xf numFmtId="0" fontId="12" fillId="11" borderId="0" xfId="0" applyFont="1" applyFill="1">
      <alignment vertical="center"/>
    </xf>
    <xf numFmtId="0" fontId="10" fillId="0" borderId="0" xfId="0" applyFont="1" applyBorder="1">
      <alignment vertical="center"/>
    </xf>
    <xf numFmtId="0" fontId="8" fillId="14" borderId="0" xfId="0" applyFont="1" applyFill="1" applyBorder="1">
      <alignment vertical="center"/>
    </xf>
    <xf numFmtId="14" fontId="10" fillId="8" borderId="0" xfId="0" applyNumberFormat="1" applyFont="1" applyFill="1">
      <alignment vertical="center"/>
    </xf>
    <xf numFmtId="14" fontId="10" fillId="14" borderId="0" xfId="0" applyNumberFormat="1" applyFont="1" applyFill="1">
      <alignment vertical="center"/>
    </xf>
    <xf numFmtId="177" fontId="8" fillId="0" borderId="0" xfId="0" applyNumberFormat="1" applyFont="1">
      <alignment vertical="center"/>
    </xf>
    <xf numFmtId="0" fontId="12" fillId="0" borderId="1" xfId="0" applyFont="1" applyBorder="1">
      <alignment vertical="center"/>
    </xf>
    <xf numFmtId="0" fontId="10" fillId="11" borderId="0" xfId="0" quotePrefix="1" applyFont="1" applyFill="1">
      <alignment vertical="center"/>
    </xf>
    <xf numFmtId="177" fontId="10" fillId="14" borderId="0" xfId="0" applyNumberFormat="1" applyFont="1" applyFill="1">
      <alignment vertical="center"/>
    </xf>
    <xf numFmtId="177" fontId="10" fillId="16" borderId="0" xfId="0" applyNumberFormat="1" applyFont="1" applyFill="1">
      <alignment vertical="center"/>
    </xf>
    <xf numFmtId="0" fontId="12" fillId="0" borderId="0" xfId="0" applyFont="1" applyBorder="1">
      <alignment vertical="center"/>
    </xf>
    <xf numFmtId="14" fontId="10" fillId="15" borderId="0" xfId="0" applyNumberFormat="1" applyFont="1" applyFill="1">
      <alignment vertical="center"/>
    </xf>
    <xf numFmtId="14" fontId="10" fillId="0" borderId="0" xfId="0" applyNumberFormat="1" applyFont="1" applyFill="1">
      <alignment vertical="center"/>
    </xf>
    <xf numFmtId="14" fontId="10" fillId="16" borderId="0" xfId="0" applyNumberFormat="1" applyFont="1" applyFill="1">
      <alignment vertical="center"/>
    </xf>
    <xf numFmtId="177" fontId="10" fillId="0" borderId="0" xfId="0" applyNumberFormat="1" applyFont="1" applyFill="1">
      <alignment vertical="center"/>
    </xf>
    <xf numFmtId="14" fontId="0" fillId="16" borderId="0" xfId="0" applyNumberFormat="1" applyFill="1" applyAlignment="1">
      <alignment horizontal="left" vertical="center"/>
    </xf>
    <xf numFmtId="14" fontId="0" fillId="17" borderId="0" xfId="0" applyNumberFormat="1" applyFill="1" applyAlignment="1">
      <alignment horizontal="left" vertical="center"/>
    </xf>
    <xf numFmtId="0" fontId="8" fillId="0" borderId="0" xfId="0" applyFont="1" applyBorder="1">
      <alignment vertical="center"/>
    </xf>
    <xf numFmtId="0" fontId="0" fillId="0" borderId="0" xfId="0" quotePrefix="1" applyAlignment="1">
      <alignment horizontal="center" vertical="center"/>
    </xf>
    <xf numFmtId="0" fontId="10" fillId="5" borderId="0" xfId="0" applyFont="1" applyFill="1">
      <alignment vertical="center"/>
    </xf>
    <xf numFmtId="0" fontId="10" fillId="4" borderId="0" xfId="0" applyFont="1" applyFill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>
      <alignment vertical="center"/>
    </xf>
    <xf numFmtId="0" fontId="12" fillId="0" borderId="2" xfId="0" applyFont="1" applyBorder="1">
      <alignment vertical="center"/>
    </xf>
    <xf numFmtId="14" fontId="0" fillId="0" borderId="0" xfId="0" applyNumberFormat="1" applyAlignment="1">
      <alignment horizontal="left" vertical="center" wrapText="1"/>
    </xf>
    <xf numFmtId="14" fontId="5" fillId="0" borderId="0" xfId="0" applyNumberFormat="1" applyFont="1" applyFill="1" applyAlignment="1">
      <alignment horizontal="left" vertical="center" wrapText="1"/>
    </xf>
    <xf numFmtId="14" fontId="5" fillId="14" borderId="0" xfId="0" applyNumberFormat="1" applyFont="1" applyFill="1" applyAlignment="1">
      <alignment horizontal="left" vertical="center"/>
    </xf>
    <xf numFmtId="14" fontId="0" fillId="0" borderId="0" xfId="0" applyNumberFormat="1" applyFill="1" applyAlignment="1">
      <alignment horizontal="left" vertical="center" wrapText="1"/>
    </xf>
    <xf numFmtId="0" fontId="10" fillId="14" borderId="0" xfId="0" applyFont="1" applyFill="1">
      <alignment vertical="center"/>
    </xf>
    <xf numFmtId="0" fontId="10" fillId="0" borderId="0" xfId="0" applyNumberFormat="1" applyFont="1">
      <alignment vertical="center"/>
    </xf>
    <xf numFmtId="0" fontId="10" fillId="5" borderId="0" xfId="0" applyFont="1" applyFill="1">
      <alignment vertical="center"/>
    </xf>
    <xf numFmtId="0" fontId="10" fillId="4" borderId="0" xfId="0" applyFont="1" applyFill="1">
      <alignment vertical="center"/>
    </xf>
    <xf numFmtId="0" fontId="0" fillId="18" borderId="0" xfId="0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10" fillId="16" borderId="0" xfId="0" applyFont="1" applyFill="1">
      <alignment vertical="center"/>
    </xf>
    <xf numFmtId="14" fontId="8" fillId="0" borderId="0" xfId="3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14" fontId="16" fillId="0" borderId="0" xfId="0" applyNumberFormat="1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7" fillId="0" borderId="0" xfId="1" applyFont="1" applyFill="1" applyAlignment="1">
      <alignment horizontal="left" vertical="center"/>
    </xf>
    <xf numFmtId="14" fontId="18" fillId="0" borderId="0" xfId="0" applyNumberFormat="1" applyFont="1" applyFill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8" fillId="8" borderId="0" xfId="0" applyNumberFormat="1" applyFont="1" applyFill="1" applyAlignment="1">
      <alignment vertical="center" wrapText="1"/>
    </xf>
    <xf numFmtId="0" fontId="10" fillId="8" borderId="0" xfId="0" applyNumberFormat="1" applyFont="1" applyFill="1">
      <alignment vertical="center"/>
    </xf>
    <xf numFmtId="0" fontId="0" fillId="0" borderId="0" xfId="0" applyNumberFormat="1">
      <alignment vertical="center"/>
    </xf>
    <xf numFmtId="0" fontId="11" fillId="9" borderId="0" xfId="2" applyFont="1" applyFill="1">
      <alignment vertical="center"/>
    </xf>
    <xf numFmtId="176" fontId="18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176" fontId="18" fillId="0" borderId="0" xfId="0" applyNumberFormat="1" applyFont="1">
      <alignment vertical="center"/>
    </xf>
    <xf numFmtId="0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12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18" fillId="0" borderId="0" xfId="0" applyFont="1" applyFill="1" applyAlignment="1">
      <alignment horizontal="left" vertical="center"/>
    </xf>
    <xf numFmtId="14" fontId="10" fillId="0" borderId="0" xfId="0" applyNumberFormat="1" applyFont="1" applyFill="1" applyAlignment="1">
      <alignment horizontal="left" vertical="center"/>
    </xf>
    <xf numFmtId="0" fontId="18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176" fontId="18" fillId="0" borderId="0" xfId="0" applyNumberFormat="1" applyFont="1" applyFill="1" applyAlignment="1">
      <alignment horizontal="left" vertical="center"/>
    </xf>
    <xf numFmtId="0" fontId="10" fillId="14" borderId="0" xfId="0" applyNumberFormat="1" applyFont="1" applyFill="1" applyAlignment="1">
      <alignment horizontal="left" vertical="center"/>
    </xf>
    <xf numFmtId="176" fontId="18" fillId="14" borderId="0" xfId="0" applyNumberFormat="1" applyFont="1" applyFill="1" applyAlignment="1">
      <alignment horizontal="left" vertical="center"/>
    </xf>
    <xf numFmtId="14" fontId="17" fillId="0" borderId="0" xfId="0" applyNumberFormat="1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14" fontId="17" fillId="0" borderId="0" xfId="0" applyNumberFormat="1" applyFont="1" applyFill="1" applyAlignment="1">
      <alignment horizontal="left" vertical="center"/>
    </xf>
    <xf numFmtId="14" fontId="17" fillId="3" borderId="0" xfId="0" applyNumberFormat="1" applyFont="1" applyFill="1" applyAlignment="1">
      <alignment horizontal="left" vertical="center"/>
    </xf>
    <xf numFmtId="14" fontId="19" fillId="3" borderId="0" xfId="0" applyNumberFormat="1" applyFont="1" applyFill="1" applyAlignment="1">
      <alignment horizontal="left" vertical="center"/>
    </xf>
    <xf numFmtId="14" fontId="10" fillId="3" borderId="0" xfId="0" applyNumberFormat="1" applyFont="1" applyFill="1" applyAlignment="1">
      <alignment horizontal="left" vertical="center"/>
    </xf>
    <xf numFmtId="0" fontId="11" fillId="9" borderId="0" xfId="0" applyFont="1" applyFill="1" applyAlignment="1">
      <alignment vertical="center" wrapText="1"/>
    </xf>
    <xf numFmtId="0" fontId="8" fillId="10" borderId="0" xfId="0" applyFont="1" applyFill="1">
      <alignment vertical="center"/>
    </xf>
    <xf numFmtId="0" fontId="10" fillId="4" borderId="0" xfId="0" applyFont="1" applyFill="1">
      <alignment vertical="center"/>
    </xf>
    <xf numFmtId="0" fontId="10" fillId="4" borderId="0" xfId="0" applyFont="1" applyFill="1" applyAlignment="1">
      <alignment vertical="center" wrapText="1"/>
    </xf>
    <xf numFmtId="0" fontId="11" fillId="9" borderId="0" xfId="2" applyFont="1" applyFill="1">
      <alignment vertical="center"/>
    </xf>
    <xf numFmtId="0" fontId="0" fillId="5" borderId="0" xfId="0" applyFill="1" applyAlignment="1">
      <alignment horizontal="center" vertical="center"/>
    </xf>
    <xf numFmtId="0" fontId="10" fillId="5" borderId="0" xfId="0" applyFont="1" applyFill="1">
      <alignment vertical="center"/>
    </xf>
    <xf numFmtId="0" fontId="19" fillId="0" borderId="0" xfId="0" applyFont="1" applyAlignment="1">
      <alignment horizontal="center" vertical="center" wrapText="1"/>
    </xf>
  </cellXfs>
  <cellStyles count="4">
    <cellStyle name="20% - 강조색6" xfId="1" builtinId="50"/>
    <cellStyle name="표준" xfId="0" builtinId="0"/>
    <cellStyle name="표준 2 2" xfId="2" xr:uid="{00000000-0005-0000-0000-000002000000}"/>
    <cellStyle name="표준 3" xfId="3" xr:uid="{2DB11642-E872-42C2-86B5-6DCEA8DFD25A}"/>
  </cellStyles>
  <dxfs count="0"/>
  <tableStyles count="0" defaultTableStyle="TableStyleMedium2" defaultPivotStyle="PivotStyleLight16"/>
  <colors>
    <mruColors>
      <color rgb="FFEAEAEA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943B-5459-492A-A314-613ADDAD7D09}">
  <dimension ref="A2:KM67"/>
  <sheetViews>
    <sheetView zoomScale="85" zoomScaleNormal="85" workbookViewId="0">
      <pane xSplit="15" ySplit="4" topLeftCell="P17" activePane="bottomRight" state="frozen"/>
      <selection pane="topRight" activeCell="R1" sqref="R1"/>
      <selection pane="bottomLeft" activeCell="A5" sqref="A5"/>
      <selection pane="bottomRight" activeCell="B1" sqref="B1:C1048576"/>
    </sheetView>
  </sheetViews>
  <sheetFormatPr defaultRowHeight="16.5"/>
  <cols>
    <col min="2" max="4" width="9" hidden="1" customWidth="1"/>
    <col min="5" max="5" width="16.875" customWidth="1"/>
    <col min="6" max="6" width="9" customWidth="1"/>
    <col min="7" max="8" width="11.125" customWidth="1"/>
    <col min="9" max="9" width="9" customWidth="1"/>
    <col min="10" max="10" width="11.125" bestFit="1" customWidth="1"/>
    <col min="11" max="11" width="11.125" customWidth="1"/>
    <col min="12" max="12" width="57.25" customWidth="1"/>
    <col min="13" max="13" width="53.625" hidden="1" customWidth="1"/>
    <col min="14" max="14" width="41.625" hidden="1" customWidth="1"/>
    <col min="15" max="15" width="13.75" hidden="1" customWidth="1"/>
    <col min="16" max="16" width="11.125" bestFit="1" customWidth="1"/>
    <col min="17" max="17" width="11.125" hidden="1" customWidth="1"/>
    <col min="18" max="19" width="11.125" bestFit="1" customWidth="1"/>
    <col min="20" max="20" width="11.625" bestFit="1" customWidth="1"/>
    <col min="21" max="21" width="10.25" bestFit="1" customWidth="1"/>
    <col min="23" max="89" width="9" customWidth="1"/>
    <col min="90" max="90" width="10.25" customWidth="1"/>
    <col min="91" max="159" width="9" customWidth="1"/>
    <col min="160" max="160" width="11.625" bestFit="1" customWidth="1"/>
    <col min="230" max="230" width="10.25" bestFit="1" customWidth="1"/>
  </cols>
  <sheetData>
    <row r="2" spans="1:299" s="1" customFormat="1" ht="40.5">
      <c r="B2" s="2" t="s">
        <v>173</v>
      </c>
      <c r="C2" s="2" t="s">
        <v>174</v>
      </c>
      <c r="D2" s="18" t="s">
        <v>248</v>
      </c>
      <c r="E2" s="2"/>
      <c r="F2" s="2" t="s">
        <v>21</v>
      </c>
      <c r="G2" s="3" t="s">
        <v>175</v>
      </c>
      <c r="H2" s="4" t="s">
        <v>176</v>
      </c>
      <c r="I2" s="5" t="s">
        <v>20</v>
      </c>
      <c r="J2" s="5" t="s">
        <v>0</v>
      </c>
      <c r="K2" s="5" t="s">
        <v>659</v>
      </c>
      <c r="L2" s="5" t="s">
        <v>660</v>
      </c>
      <c r="P2" s="133" t="s">
        <v>199</v>
      </c>
      <c r="Q2" s="133"/>
      <c r="R2" s="133"/>
      <c r="S2" s="133"/>
      <c r="T2" s="24" t="s">
        <v>203</v>
      </c>
      <c r="U2" s="25" t="s">
        <v>244</v>
      </c>
      <c r="V2" s="26" t="s">
        <v>205</v>
      </c>
      <c r="W2" s="75" t="s">
        <v>206</v>
      </c>
      <c r="X2" s="75" t="s">
        <v>206</v>
      </c>
      <c r="Y2" s="75" t="s">
        <v>206</v>
      </c>
      <c r="Z2" s="75" t="s">
        <v>206</v>
      </c>
      <c r="AA2" s="75" t="s">
        <v>206</v>
      </c>
      <c r="AB2" s="75" t="s">
        <v>206</v>
      </c>
      <c r="AC2" s="131" t="s">
        <v>207</v>
      </c>
      <c r="AD2" s="74" t="s">
        <v>208</v>
      </c>
      <c r="AE2" s="74" t="s">
        <v>208</v>
      </c>
      <c r="AF2" s="74" t="s">
        <v>208</v>
      </c>
      <c r="AG2" s="74" t="s">
        <v>208</v>
      </c>
      <c r="AH2" s="74" t="s">
        <v>208</v>
      </c>
      <c r="AI2" s="74" t="s">
        <v>208</v>
      </c>
      <c r="AJ2" s="74" t="s">
        <v>208</v>
      </c>
      <c r="AK2" s="74" t="s">
        <v>208</v>
      </c>
      <c r="AL2" s="74" t="s">
        <v>208</v>
      </c>
      <c r="AM2" s="74" t="s">
        <v>208</v>
      </c>
      <c r="AN2" s="74" t="s">
        <v>208</v>
      </c>
      <c r="AO2" s="74" t="s">
        <v>208</v>
      </c>
      <c r="AP2" s="74" t="s">
        <v>208</v>
      </c>
      <c r="AQ2" s="74" t="s">
        <v>208</v>
      </c>
      <c r="AR2" s="74" t="s">
        <v>208</v>
      </c>
      <c r="AS2" s="134" t="s">
        <v>209</v>
      </c>
      <c r="AT2" s="134" t="s">
        <v>210</v>
      </c>
      <c r="AU2" s="132" t="s">
        <v>211</v>
      </c>
      <c r="AV2" s="132" t="s">
        <v>212</v>
      </c>
      <c r="AW2" s="132" t="s">
        <v>213</v>
      </c>
      <c r="AX2" s="132" t="s">
        <v>214</v>
      </c>
      <c r="AY2" s="132" t="s">
        <v>215</v>
      </c>
      <c r="AZ2" s="132" t="s">
        <v>216</v>
      </c>
      <c r="BA2" s="128" t="s">
        <v>217</v>
      </c>
      <c r="BB2" s="128" t="s">
        <v>218</v>
      </c>
      <c r="BC2" s="75" t="s">
        <v>219</v>
      </c>
      <c r="BD2" s="75" t="s">
        <v>219</v>
      </c>
      <c r="BE2" s="75" t="s">
        <v>219</v>
      </c>
      <c r="BF2" s="75" t="s">
        <v>219</v>
      </c>
      <c r="BG2" s="75" t="s">
        <v>219</v>
      </c>
      <c r="BH2" s="75" t="s">
        <v>219</v>
      </c>
      <c r="BI2" s="130" t="s">
        <v>220</v>
      </c>
      <c r="BJ2" s="74" t="s">
        <v>221</v>
      </c>
      <c r="BK2" s="74" t="s">
        <v>221</v>
      </c>
      <c r="BL2" s="74" t="s">
        <v>221</v>
      </c>
      <c r="BM2" s="74" t="s">
        <v>221</v>
      </c>
      <c r="BN2" s="74" t="s">
        <v>221</v>
      </c>
      <c r="BO2" s="74" t="s">
        <v>221</v>
      </c>
      <c r="BP2" s="74" t="s">
        <v>221</v>
      </c>
      <c r="BQ2" s="74" t="s">
        <v>221</v>
      </c>
      <c r="BR2" s="74" t="s">
        <v>221</v>
      </c>
      <c r="BS2" s="74" t="s">
        <v>221</v>
      </c>
      <c r="BT2" s="74" t="s">
        <v>221</v>
      </c>
      <c r="BU2" s="74" t="s">
        <v>221</v>
      </c>
      <c r="BV2" s="74" t="s">
        <v>221</v>
      </c>
      <c r="BW2" s="74" t="s">
        <v>221</v>
      </c>
      <c r="BX2" s="74" t="s">
        <v>221</v>
      </c>
      <c r="BY2" s="134" t="s">
        <v>220</v>
      </c>
      <c r="BZ2" s="134" t="s">
        <v>222</v>
      </c>
      <c r="CA2" s="132" t="s">
        <v>211</v>
      </c>
      <c r="CB2" s="132" t="s">
        <v>212</v>
      </c>
      <c r="CC2" s="132" t="s">
        <v>213</v>
      </c>
      <c r="CD2" s="132" t="s">
        <v>214</v>
      </c>
      <c r="CE2" s="132" t="s">
        <v>215</v>
      </c>
      <c r="CF2" s="132" t="s">
        <v>216</v>
      </c>
      <c r="CG2" s="128" t="s">
        <v>223</v>
      </c>
      <c r="CH2" s="128" t="s">
        <v>224</v>
      </c>
      <c r="CI2" s="129" t="s">
        <v>225</v>
      </c>
      <c r="CJ2" s="129"/>
      <c r="CK2" s="129"/>
      <c r="CL2" s="27" t="s">
        <v>226</v>
      </c>
      <c r="CM2" s="25" t="s">
        <v>245</v>
      </c>
      <c r="CN2" s="26" t="s">
        <v>205</v>
      </c>
      <c r="CO2" s="75" t="s">
        <v>206</v>
      </c>
      <c r="CP2" s="75" t="s">
        <v>206</v>
      </c>
      <c r="CQ2" s="75" t="s">
        <v>206</v>
      </c>
      <c r="CR2" s="75" t="s">
        <v>206</v>
      </c>
      <c r="CS2" s="75" t="s">
        <v>206</v>
      </c>
      <c r="CT2" s="75" t="s">
        <v>206</v>
      </c>
      <c r="CU2" s="131" t="s">
        <v>207</v>
      </c>
      <c r="CV2" s="74" t="s">
        <v>208</v>
      </c>
      <c r="CW2" s="74" t="s">
        <v>208</v>
      </c>
      <c r="CX2" s="74" t="s">
        <v>208</v>
      </c>
      <c r="CY2" s="74" t="s">
        <v>208</v>
      </c>
      <c r="CZ2" s="74" t="s">
        <v>208</v>
      </c>
      <c r="DA2" s="74" t="s">
        <v>208</v>
      </c>
      <c r="DB2" s="74" t="s">
        <v>208</v>
      </c>
      <c r="DC2" s="74" t="s">
        <v>208</v>
      </c>
      <c r="DD2" s="74" t="s">
        <v>208</v>
      </c>
      <c r="DE2" s="74" t="s">
        <v>208</v>
      </c>
      <c r="DF2" s="74" t="s">
        <v>208</v>
      </c>
      <c r="DG2" s="74" t="s">
        <v>208</v>
      </c>
      <c r="DH2" s="74" t="s">
        <v>208</v>
      </c>
      <c r="DI2" s="74" t="s">
        <v>208</v>
      </c>
      <c r="DJ2" s="74" t="s">
        <v>208</v>
      </c>
      <c r="DK2" s="134" t="s">
        <v>209</v>
      </c>
      <c r="DL2" s="134" t="s">
        <v>210</v>
      </c>
      <c r="DM2" s="132" t="s">
        <v>211</v>
      </c>
      <c r="DN2" s="132" t="s">
        <v>212</v>
      </c>
      <c r="DO2" s="132" t="s">
        <v>213</v>
      </c>
      <c r="DP2" s="132" t="s">
        <v>214</v>
      </c>
      <c r="DQ2" s="132" t="s">
        <v>215</v>
      </c>
      <c r="DR2" s="132" t="s">
        <v>216</v>
      </c>
      <c r="DS2" s="128" t="s">
        <v>217</v>
      </c>
      <c r="DT2" s="128" t="s">
        <v>227</v>
      </c>
      <c r="DU2" s="75" t="s">
        <v>219</v>
      </c>
      <c r="DV2" s="75" t="s">
        <v>219</v>
      </c>
      <c r="DW2" s="75" t="s">
        <v>219</v>
      </c>
      <c r="DX2" s="75" t="s">
        <v>219</v>
      </c>
      <c r="DY2" s="75" t="s">
        <v>219</v>
      </c>
      <c r="DZ2" s="75" t="s">
        <v>219</v>
      </c>
      <c r="EA2" s="130" t="s">
        <v>220</v>
      </c>
      <c r="EB2" s="74" t="s">
        <v>221</v>
      </c>
      <c r="EC2" s="74" t="s">
        <v>221</v>
      </c>
      <c r="ED2" s="74" t="s">
        <v>221</v>
      </c>
      <c r="EE2" s="74" t="s">
        <v>221</v>
      </c>
      <c r="EF2" s="74" t="s">
        <v>221</v>
      </c>
      <c r="EG2" s="74" t="s">
        <v>221</v>
      </c>
      <c r="EH2" s="74" t="s">
        <v>221</v>
      </c>
      <c r="EI2" s="74" t="s">
        <v>221</v>
      </c>
      <c r="EJ2" s="74" t="s">
        <v>221</v>
      </c>
      <c r="EK2" s="74" t="s">
        <v>221</v>
      </c>
      <c r="EL2" s="74" t="s">
        <v>221</v>
      </c>
      <c r="EM2" s="74" t="s">
        <v>221</v>
      </c>
      <c r="EN2" s="74" t="s">
        <v>221</v>
      </c>
      <c r="EO2" s="74" t="s">
        <v>221</v>
      </c>
      <c r="EP2" s="74" t="s">
        <v>221</v>
      </c>
      <c r="EQ2" s="134" t="s">
        <v>220</v>
      </c>
      <c r="ER2" s="134" t="s">
        <v>222</v>
      </c>
      <c r="ES2" s="132" t="s">
        <v>211</v>
      </c>
      <c r="ET2" s="132" t="s">
        <v>212</v>
      </c>
      <c r="EU2" s="132" t="s">
        <v>213</v>
      </c>
      <c r="EV2" s="132" t="s">
        <v>214</v>
      </c>
      <c r="EW2" s="132" t="s">
        <v>215</v>
      </c>
      <c r="EX2" s="132" t="s">
        <v>216</v>
      </c>
      <c r="EY2" s="128" t="s">
        <v>223</v>
      </c>
      <c r="EZ2" s="128" t="s">
        <v>224</v>
      </c>
      <c r="FA2" s="129" t="s">
        <v>225</v>
      </c>
      <c r="FB2" s="129"/>
      <c r="FC2" s="129"/>
      <c r="FD2" s="27" t="s">
        <v>228</v>
      </c>
      <c r="FE2" s="25" t="s">
        <v>204</v>
      </c>
      <c r="FF2" s="26" t="s">
        <v>205</v>
      </c>
      <c r="FG2" s="75" t="s">
        <v>206</v>
      </c>
      <c r="FH2" s="75" t="s">
        <v>206</v>
      </c>
      <c r="FI2" s="75" t="s">
        <v>206</v>
      </c>
      <c r="FJ2" s="75" t="s">
        <v>206</v>
      </c>
      <c r="FK2" s="75" t="s">
        <v>206</v>
      </c>
      <c r="FL2" s="75" t="s">
        <v>206</v>
      </c>
      <c r="FM2" s="131" t="s">
        <v>207</v>
      </c>
      <c r="FN2" s="74" t="s">
        <v>208</v>
      </c>
      <c r="FO2" s="74" t="s">
        <v>208</v>
      </c>
      <c r="FP2" s="74" t="s">
        <v>208</v>
      </c>
      <c r="FQ2" s="74" t="s">
        <v>208</v>
      </c>
      <c r="FR2" s="74" t="s">
        <v>208</v>
      </c>
      <c r="FS2" s="74" t="s">
        <v>208</v>
      </c>
      <c r="FT2" s="74" t="s">
        <v>208</v>
      </c>
      <c r="FU2" s="74" t="s">
        <v>208</v>
      </c>
      <c r="FV2" s="74" t="s">
        <v>208</v>
      </c>
      <c r="FW2" s="74" t="s">
        <v>208</v>
      </c>
      <c r="FX2" s="74" t="s">
        <v>208</v>
      </c>
      <c r="FY2" s="74" t="s">
        <v>208</v>
      </c>
      <c r="FZ2" s="74" t="s">
        <v>208</v>
      </c>
      <c r="GA2" s="74" t="s">
        <v>208</v>
      </c>
      <c r="GB2" s="74" t="s">
        <v>208</v>
      </c>
      <c r="GC2" s="134" t="s">
        <v>209</v>
      </c>
      <c r="GD2" s="134" t="s">
        <v>210</v>
      </c>
      <c r="GE2" s="132" t="s">
        <v>211</v>
      </c>
      <c r="GF2" s="132" t="s">
        <v>212</v>
      </c>
      <c r="GG2" s="132" t="s">
        <v>213</v>
      </c>
      <c r="GH2" s="132" t="s">
        <v>214</v>
      </c>
      <c r="GI2" s="132" t="s">
        <v>215</v>
      </c>
      <c r="GJ2" s="132" t="s">
        <v>216</v>
      </c>
      <c r="GK2" s="128" t="s">
        <v>217</v>
      </c>
      <c r="GL2" s="128" t="s">
        <v>227</v>
      </c>
      <c r="GM2" s="75" t="s">
        <v>219</v>
      </c>
      <c r="GN2" s="75" t="s">
        <v>219</v>
      </c>
      <c r="GO2" s="75" t="s">
        <v>219</v>
      </c>
      <c r="GP2" s="75" t="s">
        <v>219</v>
      </c>
      <c r="GQ2" s="75" t="s">
        <v>219</v>
      </c>
      <c r="GR2" s="75" t="s">
        <v>219</v>
      </c>
      <c r="GS2" s="130" t="s">
        <v>220</v>
      </c>
      <c r="GT2" s="74" t="s">
        <v>221</v>
      </c>
      <c r="GU2" s="74" t="s">
        <v>221</v>
      </c>
      <c r="GV2" s="74" t="s">
        <v>221</v>
      </c>
      <c r="GW2" s="74" t="s">
        <v>221</v>
      </c>
      <c r="GX2" s="74" t="s">
        <v>221</v>
      </c>
      <c r="GY2" s="74" t="s">
        <v>221</v>
      </c>
      <c r="GZ2" s="74" t="s">
        <v>221</v>
      </c>
      <c r="HA2" s="74" t="s">
        <v>221</v>
      </c>
      <c r="HB2" s="74" t="s">
        <v>221</v>
      </c>
      <c r="HC2" s="74" t="s">
        <v>221</v>
      </c>
      <c r="HD2" s="74" t="s">
        <v>221</v>
      </c>
      <c r="HE2" s="74" t="s">
        <v>221</v>
      </c>
      <c r="HF2" s="74" t="s">
        <v>221</v>
      </c>
      <c r="HG2" s="74" t="s">
        <v>221</v>
      </c>
      <c r="HH2" s="74" t="s">
        <v>221</v>
      </c>
      <c r="HI2" s="134" t="s">
        <v>220</v>
      </c>
      <c r="HJ2" s="134" t="s">
        <v>222</v>
      </c>
      <c r="HK2" s="132" t="s">
        <v>211</v>
      </c>
      <c r="HL2" s="132" t="s">
        <v>212</v>
      </c>
      <c r="HM2" s="132" t="s">
        <v>213</v>
      </c>
      <c r="HN2" s="132" t="s">
        <v>214</v>
      </c>
      <c r="HO2" s="132" t="s">
        <v>215</v>
      </c>
      <c r="HP2" s="132" t="s">
        <v>216</v>
      </c>
      <c r="HQ2" s="128" t="s">
        <v>223</v>
      </c>
      <c r="HR2" s="128" t="s">
        <v>224</v>
      </c>
      <c r="HS2" s="129" t="s">
        <v>225</v>
      </c>
      <c r="HT2" s="129"/>
      <c r="HU2" s="129"/>
      <c r="HV2" s="27" t="s">
        <v>229</v>
      </c>
      <c r="HW2" s="25" t="s">
        <v>204</v>
      </c>
      <c r="HX2" s="26" t="s">
        <v>205</v>
      </c>
      <c r="HY2" s="75" t="s">
        <v>206</v>
      </c>
      <c r="HZ2" s="75" t="s">
        <v>206</v>
      </c>
      <c r="IA2" s="75" t="s">
        <v>206</v>
      </c>
      <c r="IB2" s="75" t="s">
        <v>206</v>
      </c>
      <c r="IC2" s="75" t="s">
        <v>206</v>
      </c>
      <c r="ID2" s="75" t="s">
        <v>206</v>
      </c>
      <c r="IE2" s="131" t="s">
        <v>207</v>
      </c>
      <c r="IF2" s="74" t="s">
        <v>208</v>
      </c>
      <c r="IG2" s="74" t="s">
        <v>208</v>
      </c>
      <c r="IH2" s="74" t="s">
        <v>208</v>
      </c>
      <c r="II2" s="74" t="s">
        <v>208</v>
      </c>
      <c r="IJ2" s="74" t="s">
        <v>208</v>
      </c>
      <c r="IK2" s="74" t="s">
        <v>208</v>
      </c>
      <c r="IL2" s="74" t="s">
        <v>208</v>
      </c>
      <c r="IM2" s="74" t="s">
        <v>208</v>
      </c>
      <c r="IN2" s="74" t="s">
        <v>208</v>
      </c>
      <c r="IO2" s="74" t="s">
        <v>208</v>
      </c>
      <c r="IP2" s="74" t="s">
        <v>208</v>
      </c>
      <c r="IQ2" s="74" t="s">
        <v>208</v>
      </c>
      <c r="IR2" s="74" t="s">
        <v>208</v>
      </c>
      <c r="IS2" s="74" t="s">
        <v>208</v>
      </c>
      <c r="IT2" s="74" t="s">
        <v>208</v>
      </c>
      <c r="IU2" s="134" t="s">
        <v>209</v>
      </c>
      <c r="IV2" s="134" t="s">
        <v>210</v>
      </c>
      <c r="IW2" s="132" t="s">
        <v>211</v>
      </c>
      <c r="IX2" s="132" t="s">
        <v>212</v>
      </c>
      <c r="IY2" s="132" t="s">
        <v>213</v>
      </c>
      <c r="IZ2" s="132" t="s">
        <v>214</v>
      </c>
      <c r="JA2" s="132" t="s">
        <v>215</v>
      </c>
      <c r="JB2" s="132" t="s">
        <v>216</v>
      </c>
      <c r="JC2" s="128" t="s">
        <v>217</v>
      </c>
      <c r="JD2" s="128" t="s">
        <v>227</v>
      </c>
      <c r="JE2" s="75" t="s">
        <v>219</v>
      </c>
      <c r="JF2" s="75" t="s">
        <v>219</v>
      </c>
      <c r="JG2" s="75" t="s">
        <v>219</v>
      </c>
      <c r="JH2" s="75" t="s">
        <v>219</v>
      </c>
      <c r="JI2" s="75" t="s">
        <v>219</v>
      </c>
      <c r="JJ2" s="75" t="s">
        <v>219</v>
      </c>
      <c r="JK2" s="130" t="s">
        <v>220</v>
      </c>
      <c r="JL2" s="74" t="s">
        <v>221</v>
      </c>
      <c r="JM2" s="74" t="s">
        <v>221</v>
      </c>
      <c r="JN2" s="74" t="s">
        <v>221</v>
      </c>
      <c r="JO2" s="74" t="s">
        <v>221</v>
      </c>
      <c r="JP2" s="74" t="s">
        <v>221</v>
      </c>
      <c r="JQ2" s="74" t="s">
        <v>221</v>
      </c>
      <c r="JR2" s="74" t="s">
        <v>221</v>
      </c>
      <c r="JS2" s="74" t="s">
        <v>221</v>
      </c>
      <c r="JT2" s="74" t="s">
        <v>221</v>
      </c>
      <c r="JU2" s="74" t="s">
        <v>221</v>
      </c>
      <c r="JV2" s="74" t="s">
        <v>221</v>
      </c>
      <c r="JW2" s="74" t="s">
        <v>221</v>
      </c>
      <c r="JX2" s="74" t="s">
        <v>221</v>
      </c>
      <c r="JY2" s="74" t="s">
        <v>221</v>
      </c>
      <c r="JZ2" s="74" t="s">
        <v>221</v>
      </c>
      <c r="KA2" s="134" t="s">
        <v>220</v>
      </c>
      <c r="KB2" s="134" t="s">
        <v>222</v>
      </c>
      <c r="KC2" s="132" t="s">
        <v>211</v>
      </c>
      <c r="KD2" s="132" t="s">
        <v>212</v>
      </c>
      <c r="KE2" s="132" t="s">
        <v>213</v>
      </c>
      <c r="KF2" s="132" t="s">
        <v>214</v>
      </c>
      <c r="KG2" s="132" t="s">
        <v>215</v>
      </c>
      <c r="KH2" s="132" t="s">
        <v>216</v>
      </c>
      <c r="KI2" s="128" t="s">
        <v>223</v>
      </c>
      <c r="KJ2" s="128" t="s">
        <v>224</v>
      </c>
      <c r="KK2" s="129" t="s">
        <v>225</v>
      </c>
      <c r="KL2" s="129"/>
      <c r="KM2" s="129"/>
    </row>
    <row r="3" spans="1:299" s="1" customFormat="1" ht="33">
      <c r="B3" s="2"/>
      <c r="C3" s="2"/>
      <c r="D3" s="18" t="s">
        <v>247</v>
      </c>
      <c r="E3" s="2"/>
      <c r="F3" s="2"/>
      <c r="G3" s="3"/>
      <c r="H3" s="4" t="s">
        <v>23</v>
      </c>
      <c r="I3" s="5"/>
      <c r="J3" s="5"/>
      <c r="K3" s="5"/>
      <c r="L3" s="5"/>
      <c r="M3" s="6" t="s">
        <v>98</v>
      </c>
      <c r="N3" s="6" t="s">
        <v>99</v>
      </c>
      <c r="O3" s="7" t="s">
        <v>198</v>
      </c>
      <c r="P3" s="23" t="s">
        <v>200</v>
      </c>
      <c r="Q3" s="23" t="s">
        <v>201</v>
      </c>
      <c r="R3" s="23" t="s">
        <v>202</v>
      </c>
      <c r="S3" s="23" t="s">
        <v>246</v>
      </c>
      <c r="T3" s="28" t="s">
        <v>230</v>
      </c>
      <c r="U3" s="29"/>
      <c r="V3" s="29"/>
      <c r="W3" s="30">
        <v>0.25</v>
      </c>
      <c r="X3" s="30">
        <v>0.5</v>
      </c>
      <c r="Y3" s="30">
        <v>1</v>
      </c>
      <c r="Z3" s="30">
        <v>2</v>
      </c>
      <c r="AA3" s="30">
        <v>3</v>
      </c>
      <c r="AB3" s="30">
        <v>4</v>
      </c>
      <c r="AC3" s="131"/>
      <c r="AD3" s="30">
        <v>0.125</v>
      </c>
      <c r="AE3" s="30">
        <v>0.25</v>
      </c>
      <c r="AF3" s="30">
        <v>0.5</v>
      </c>
      <c r="AG3" s="30">
        <v>1</v>
      </c>
      <c r="AH3" s="30">
        <v>2</v>
      </c>
      <c r="AI3" s="30">
        <v>3</v>
      </c>
      <c r="AJ3" s="30">
        <v>4</v>
      </c>
      <c r="AK3" s="30">
        <v>8</v>
      </c>
      <c r="AL3" s="30">
        <v>9</v>
      </c>
      <c r="AM3" s="30">
        <v>10</v>
      </c>
      <c r="AN3" s="30">
        <v>12.5</v>
      </c>
      <c r="AO3" s="30">
        <v>14</v>
      </c>
      <c r="AP3" s="30">
        <v>16</v>
      </c>
      <c r="AQ3" s="30">
        <v>18</v>
      </c>
      <c r="AR3" s="30">
        <v>20</v>
      </c>
      <c r="AS3" s="134"/>
      <c r="AT3" s="134"/>
      <c r="AU3" s="132"/>
      <c r="AV3" s="132"/>
      <c r="AW3" s="132"/>
      <c r="AX3" s="132"/>
      <c r="AY3" s="132"/>
      <c r="AZ3" s="132"/>
      <c r="BA3" s="128"/>
      <c r="BB3" s="128"/>
      <c r="BC3" s="30">
        <v>0.25</v>
      </c>
      <c r="BD3" s="30">
        <v>0.5</v>
      </c>
      <c r="BE3" s="30">
        <v>1</v>
      </c>
      <c r="BF3" s="30">
        <v>2</v>
      </c>
      <c r="BG3" s="30">
        <v>3</v>
      </c>
      <c r="BH3" s="30">
        <v>4</v>
      </c>
      <c r="BI3" s="130"/>
      <c r="BJ3" s="30">
        <v>0.125</v>
      </c>
      <c r="BK3" s="30">
        <v>0.25</v>
      </c>
      <c r="BL3" s="30">
        <v>0.5</v>
      </c>
      <c r="BM3" s="30">
        <v>1</v>
      </c>
      <c r="BN3" s="30">
        <v>2</v>
      </c>
      <c r="BO3" s="30">
        <v>3</v>
      </c>
      <c r="BP3" s="30">
        <v>4</v>
      </c>
      <c r="BQ3" s="30">
        <v>8</v>
      </c>
      <c r="BR3" s="30">
        <v>9</v>
      </c>
      <c r="BS3" s="30">
        <v>10</v>
      </c>
      <c r="BT3" s="30">
        <v>12.5</v>
      </c>
      <c r="BU3" s="30">
        <v>14</v>
      </c>
      <c r="BV3" s="30">
        <v>16</v>
      </c>
      <c r="BW3" s="30">
        <v>18</v>
      </c>
      <c r="BX3" s="30">
        <v>20</v>
      </c>
      <c r="BY3" s="134"/>
      <c r="BZ3" s="134"/>
      <c r="CA3" s="132"/>
      <c r="CB3" s="132"/>
      <c r="CC3" s="132"/>
      <c r="CD3" s="132"/>
      <c r="CE3" s="132"/>
      <c r="CF3" s="132"/>
      <c r="CG3" s="128"/>
      <c r="CH3" s="128"/>
      <c r="CI3" s="31" t="s">
        <v>231</v>
      </c>
      <c r="CJ3" s="31" t="s">
        <v>232</v>
      </c>
      <c r="CK3" s="31" t="s">
        <v>233</v>
      </c>
      <c r="CL3" s="28" t="s">
        <v>230</v>
      </c>
      <c r="CM3" s="29"/>
      <c r="CN3" s="29"/>
      <c r="CO3" s="30">
        <v>0.25</v>
      </c>
      <c r="CP3" s="30">
        <v>0.5</v>
      </c>
      <c r="CQ3" s="30">
        <v>1</v>
      </c>
      <c r="CR3" s="30">
        <v>2</v>
      </c>
      <c r="CS3" s="30">
        <v>3</v>
      </c>
      <c r="CT3" s="30">
        <v>4</v>
      </c>
      <c r="CU3" s="131"/>
      <c r="CV3" s="30">
        <v>0.125</v>
      </c>
      <c r="CW3" s="30">
        <v>0.25</v>
      </c>
      <c r="CX3" s="30">
        <v>0.5</v>
      </c>
      <c r="CY3" s="30">
        <v>1</v>
      </c>
      <c r="CZ3" s="30">
        <v>2</v>
      </c>
      <c r="DA3" s="30">
        <v>3</v>
      </c>
      <c r="DB3" s="30">
        <v>4</v>
      </c>
      <c r="DC3" s="30">
        <v>8</v>
      </c>
      <c r="DD3" s="30">
        <v>9</v>
      </c>
      <c r="DE3" s="30">
        <v>10</v>
      </c>
      <c r="DF3" s="30">
        <v>12.5</v>
      </c>
      <c r="DG3" s="30">
        <v>14</v>
      </c>
      <c r="DH3" s="30">
        <v>16</v>
      </c>
      <c r="DI3" s="30">
        <v>18</v>
      </c>
      <c r="DJ3" s="30">
        <v>20</v>
      </c>
      <c r="DK3" s="134"/>
      <c r="DL3" s="134"/>
      <c r="DM3" s="132"/>
      <c r="DN3" s="132"/>
      <c r="DO3" s="132"/>
      <c r="DP3" s="132"/>
      <c r="DQ3" s="132"/>
      <c r="DR3" s="132"/>
      <c r="DS3" s="128"/>
      <c r="DT3" s="128"/>
      <c r="DU3" s="30">
        <v>0.25</v>
      </c>
      <c r="DV3" s="30">
        <v>0.5</v>
      </c>
      <c r="DW3" s="30">
        <v>1</v>
      </c>
      <c r="DX3" s="30">
        <v>2</v>
      </c>
      <c r="DY3" s="30">
        <v>3</v>
      </c>
      <c r="DZ3" s="30">
        <v>4</v>
      </c>
      <c r="EA3" s="130"/>
      <c r="EB3" s="30">
        <v>0.125</v>
      </c>
      <c r="EC3" s="30">
        <v>0.25</v>
      </c>
      <c r="ED3" s="30">
        <v>0.5</v>
      </c>
      <c r="EE3" s="30">
        <v>1</v>
      </c>
      <c r="EF3" s="30">
        <v>2</v>
      </c>
      <c r="EG3" s="30">
        <v>3</v>
      </c>
      <c r="EH3" s="30">
        <v>4</v>
      </c>
      <c r="EI3" s="30">
        <v>8</v>
      </c>
      <c r="EJ3" s="30">
        <v>9</v>
      </c>
      <c r="EK3" s="30">
        <v>10</v>
      </c>
      <c r="EL3" s="30">
        <v>12.5</v>
      </c>
      <c r="EM3" s="30">
        <v>14</v>
      </c>
      <c r="EN3" s="30">
        <v>16</v>
      </c>
      <c r="EO3" s="30">
        <v>18</v>
      </c>
      <c r="EP3" s="30">
        <v>20</v>
      </c>
      <c r="EQ3" s="134"/>
      <c r="ER3" s="134"/>
      <c r="ES3" s="132"/>
      <c r="ET3" s="132"/>
      <c r="EU3" s="132"/>
      <c r="EV3" s="132"/>
      <c r="EW3" s="132"/>
      <c r="EX3" s="132"/>
      <c r="EY3" s="128"/>
      <c r="EZ3" s="128"/>
      <c r="FA3" s="31" t="s">
        <v>231</v>
      </c>
      <c r="FB3" s="31" t="s">
        <v>232</v>
      </c>
      <c r="FC3" s="31" t="s">
        <v>233</v>
      </c>
      <c r="FD3" s="28" t="s">
        <v>230</v>
      </c>
      <c r="FE3" s="29"/>
      <c r="FF3" s="29"/>
      <c r="FG3" s="30">
        <v>0.25</v>
      </c>
      <c r="FH3" s="30">
        <v>0.5</v>
      </c>
      <c r="FI3" s="30">
        <v>1</v>
      </c>
      <c r="FJ3" s="30">
        <v>2</v>
      </c>
      <c r="FK3" s="30">
        <v>3</v>
      </c>
      <c r="FL3" s="30">
        <v>4</v>
      </c>
      <c r="FM3" s="131"/>
      <c r="FN3" s="30">
        <v>0.125</v>
      </c>
      <c r="FO3" s="30">
        <v>0.25</v>
      </c>
      <c r="FP3" s="30">
        <v>0.5</v>
      </c>
      <c r="FQ3" s="30">
        <v>1</v>
      </c>
      <c r="FR3" s="30">
        <v>2</v>
      </c>
      <c r="FS3" s="30">
        <v>3</v>
      </c>
      <c r="FT3" s="30">
        <v>4</v>
      </c>
      <c r="FU3" s="30">
        <v>8</v>
      </c>
      <c r="FV3" s="30">
        <v>9</v>
      </c>
      <c r="FW3" s="30">
        <v>10</v>
      </c>
      <c r="FX3" s="30">
        <v>12.5</v>
      </c>
      <c r="FY3" s="30">
        <v>14</v>
      </c>
      <c r="FZ3" s="30">
        <v>16</v>
      </c>
      <c r="GA3" s="30">
        <v>18</v>
      </c>
      <c r="GB3" s="30">
        <v>20</v>
      </c>
      <c r="GC3" s="134"/>
      <c r="GD3" s="134"/>
      <c r="GE3" s="132"/>
      <c r="GF3" s="132"/>
      <c r="GG3" s="132"/>
      <c r="GH3" s="132"/>
      <c r="GI3" s="132"/>
      <c r="GJ3" s="132"/>
      <c r="GK3" s="128"/>
      <c r="GL3" s="128"/>
      <c r="GM3" s="30">
        <v>0.25</v>
      </c>
      <c r="GN3" s="30">
        <v>0.5</v>
      </c>
      <c r="GO3" s="30">
        <v>1</v>
      </c>
      <c r="GP3" s="30">
        <v>2</v>
      </c>
      <c r="GQ3" s="30">
        <v>3</v>
      </c>
      <c r="GR3" s="30">
        <v>4</v>
      </c>
      <c r="GS3" s="130"/>
      <c r="GT3" s="30">
        <v>0.125</v>
      </c>
      <c r="GU3" s="30">
        <v>0.25</v>
      </c>
      <c r="GV3" s="30">
        <v>0.5</v>
      </c>
      <c r="GW3" s="30">
        <v>1</v>
      </c>
      <c r="GX3" s="30">
        <v>2</v>
      </c>
      <c r="GY3" s="30">
        <v>3</v>
      </c>
      <c r="GZ3" s="30">
        <v>4</v>
      </c>
      <c r="HA3" s="30">
        <v>8</v>
      </c>
      <c r="HB3" s="30">
        <v>9</v>
      </c>
      <c r="HC3" s="30">
        <v>10</v>
      </c>
      <c r="HD3" s="30">
        <v>12.5</v>
      </c>
      <c r="HE3" s="30">
        <v>14</v>
      </c>
      <c r="HF3" s="30">
        <v>16</v>
      </c>
      <c r="HG3" s="30">
        <v>18</v>
      </c>
      <c r="HH3" s="30">
        <v>20</v>
      </c>
      <c r="HI3" s="134"/>
      <c r="HJ3" s="134"/>
      <c r="HK3" s="132"/>
      <c r="HL3" s="132"/>
      <c r="HM3" s="132"/>
      <c r="HN3" s="132"/>
      <c r="HO3" s="132"/>
      <c r="HP3" s="132"/>
      <c r="HQ3" s="128"/>
      <c r="HR3" s="128"/>
      <c r="HS3" s="31" t="s">
        <v>231</v>
      </c>
      <c r="HT3" s="31" t="s">
        <v>232</v>
      </c>
      <c r="HU3" s="31" t="s">
        <v>233</v>
      </c>
      <c r="HV3" s="28" t="s">
        <v>230</v>
      </c>
      <c r="HW3" s="29"/>
      <c r="HX3" s="29"/>
      <c r="HY3" s="30">
        <v>0.25</v>
      </c>
      <c r="HZ3" s="30">
        <v>0.5</v>
      </c>
      <c r="IA3" s="30">
        <v>1</v>
      </c>
      <c r="IB3" s="30">
        <v>2</v>
      </c>
      <c r="IC3" s="30">
        <v>3</v>
      </c>
      <c r="ID3" s="30">
        <v>4</v>
      </c>
      <c r="IE3" s="131"/>
      <c r="IF3" s="30">
        <v>0.125</v>
      </c>
      <c r="IG3" s="30">
        <v>0.25</v>
      </c>
      <c r="IH3" s="30">
        <v>0.5</v>
      </c>
      <c r="II3" s="30">
        <v>1</v>
      </c>
      <c r="IJ3" s="30">
        <v>2</v>
      </c>
      <c r="IK3" s="30">
        <v>3</v>
      </c>
      <c r="IL3" s="30">
        <v>4</v>
      </c>
      <c r="IM3" s="30">
        <v>8</v>
      </c>
      <c r="IN3" s="30">
        <v>9</v>
      </c>
      <c r="IO3" s="30">
        <v>10</v>
      </c>
      <c r="IP3" s="30">
        <v>12.5</v>
      </c>
      <c r="IQ3" s="30">
        <v>14</v>
      </c>
      <c r="IR3" s="30">
        <v>16</v>
      </c>
      <c r="IS3" s="30">
        <v>18</v>
      </c>
      <c r="IT3" s="30">
        <v>20</v>
      </c>
      <c r="IU3" s="134"/>
      <c r="IV3" s="134"/>
      <c r="IW3" s="132"/>
      <c r="IX3" s="132"/>
      <c r="IY3" s="132"/>
      <c r="IZ3" s="132"/>
      <c r="JA3" s="132"/>
      <c r="JB3" s="132"/>
      <c r="JC3" s="128"/>
      <c r="JD3" s="128"/>
      <c r="JE3" s="30">
        <v>0.25</v>
      </c>
      <c r="JF3" s="30">
        <v>0.5</v>
      </c>
      <c r="JG3" s="30">
        <v>1</v>
      </c>
      <c r="JH3" s="30">
        <v>2</v>
      </c>
      <c r="JI3" s="30">
        <v>3</v>
      </c>
      <c r="JJ3" s="30">
        <v>4</v>
      </c>
      <c r="JK3" s="130"/>
      <c r="JL3" s="30">
        <v>0.125</v>
      </c>
      <c r="JM3" s="30">
        <v>0.25</v>
      </c>
      <c r="JN3" s="30">
        <v>0.5</v>
      </c>
      <c r="JO3" s="30">
        <v>1</v>
      </c>
      <c r="JP3" s="30">
        <v>2</v>
      </c>
      <c r="JQ3" s="30">
        <v>3</v>
      </c>
      <c r="JR3" s="30">
        <v>4</v>
      </c>
      <c r="JS3" s="30">
        <v>8</v>
      </c>
      <c r="JT3" s="30">
        <v>9</v>
      </c>
      <c r="JU3" s="30">
        <v>10</v>
      </c>
      <c r="JV3" s="30">
        <v>12.5</v>
      </c>
      <c r="JW3" s="30">
        <v>14</v>
      </c>
      <c r="JX3" s="30">
        <v>16</v>
      </c>
      <c r="JY3" s="30">
        <v>18</v>
      </c>
      <c r="JZ3" s="30">
        <v>20</v>
      </c>
      <c r="KA3" s="134"/>
      <c r="KB3" s="134"/>
      <c r="KC3" s="132"/>
      <c r="KD3" s="132"/>
      <c r="KE3" s="132"/>
      <c r="KF3" s="132"/>
      <c r="KG3" s="132"/>
      <c r="KH3" s="132"/>
      <c r="KI3" s="128"/>
      <c r="KJ3" s="128"/>
      <c r="KK3" s="31" t="s">
        <v>231</v>
      </c>
      <c r="KL3" s="31" t="s">
        <v>232</v>
      </c>
      <c r="KM3" s="31" t="s">
        <v>233</v>
      </c>
    </row>
    <row r="4" spans="1:299" s="1" customFormat="1" ht="162">
      <c r="B4" s="38"/>
      <c r="C4" s="38"/>
      <c r="D4" s="39"/>
      <c r="E4" s="38"/>
      <c r="F4" s="38"/>
      <c r="G4" s="38"/>
      <c r="H4" s="38"/>
      <c r="I4" s="38"/>
      <c r="J4" s="38"/>
      <c r="K4" s="38"/>
      <c r="L4" s="38"/>
      <c r="M4" s="38"/>
      <c r="N4" s="38"/>
      <c r="O4" s="40"/>
      <c r="P4" s="41"/>
      <c r="Q4" s="41"/>
      <c r="R4" s="41"/>
      <c r="S4" s="41"/>
      <c r="T4" s="35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6" t="s">
        <v>249</v>
      </c>
      <c r="AU4" s="36" t="s">
        <v>250</v>
      </c>
      <c r="AV4" s="36" t="s">
        <v>251</v>
      </c>
      <c r="AW4" s="36" t="s">
        <v>252</v>
      </c>
      <c r="AX4" s="36" t="s">
        <v>253</v>
      </c>
      <c r="AY4" s="37" t="s">
        <v>254</v>
      </c>
      <c r="AZ4" s="37" t="s">
        <v>255</v>
      </c>
      <c r="BA4" s="37" t="s">
        <v>256</v>
      </c>
      <c r="BB4" s="31" t="s">
        <v>257</v>
      </c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6" t="s">
        <v>258</v>
      </c>
      <c r="CA4" s="36" t="s">
        <v>259</v>
      </c>
      <c r="CB4" s="36" t="s">
        <v>260</v>
      </c>
      <c r="CC4" s="36" t="s">
        <v>261</v>
      </c>
      <c r="CD4" s="36" t="s">
        <v>262</v>
      </c>
      <c r="CE4" s="37" t="s">
        <v>254</v>
      </c>
      <c r="CF4" s="37" t="s">
        <v>255</v>
      </c>
      <c r="CG4" s="37" t="s">
        <v>256</v>
      </c>
      <c r="CH4" s="31" t="s">
        <v>257</v>
      </c>
      <c r="CI4" s="37" t="s">
        <v>263</v>
      </c>
      <c r="CJ4" s="31" t="s">
        <v>264</v>
      </c>
      <c r="CK4" s="31" t="s">
        <v>265</v>
      </c>
      <c r="CL4" s="35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6" t="s">
        <v>258</v>
      </c>
      <c r="DM4" s="36" t="s">
        <v>259</v>
      </c>
      <c r="DN4" s="36" t="s">
        <v>260</v>
      </c>
      <c r="DO4" s="36" t="s">
        <v>261</v>
      </c>
      <c r="DP4" s="36" t="s">
        <v>262</v>
      </c>
      <c r="DQ4" s="37" t="s">
        <v>254</v>
      </c>
      <c r="DR4" s="37" t="s">
        <v>255</v>
      </c>
      <c r="DS4" s="37" t="s">
        <v>256</v>
      </c>
      <c r="DT4" s="31" t="s">
        <v>257</v>
      </c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6" t="s">
        <v>258</v>
      </c>
      <c r="ES4" s="36" t="s">
        <v>259</v>
      </c>
      <c r="ET4" s="36" t="s">
        <v>260</v>
      </c>
      <c r="EU4" s="36" t="s">
        <v>261</v>
      </c>
      <c r="EV4" s="36" t="s">
        <v>262</v>
      </c>
      <c r="EW4" s="37" t="s">
        <v>254</v>
      </c>
      <c r="EX4" s="37" t="s">
        <v>255</v>
      </c>
      <c r="EY4" s="37" t="s">
        <v>256</v>
      </c>
      <c r="EZ4" s="31" t="s">
        <v>257</v>
      </c>
      <c r="FA4" s="37" t="s">
        <v>266</v>
      </c>
      <c r="FB4" s="31" t="s">
        <v>267</v>
      </c>
      <c r="FC4" s="31" t="s">
        <v>268</v>
      </c>
      <c r="FD4" s="35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6" t="s">
        <v>258</v>
      </c>
      <c r="GE4" s="36" t="s">
        <v>259</v>
      </c>
      <c r="GF4" s="36" t="s">
        <v>260</v>
      </c>
      <c r="GG4" s="36" t="s">
        <v>261</v>
      </c>
      <c r="GH4" s="36" t="s">
        <v>262</v>
      </c>
      <c r="GI4" s="37" t="s">
        <v>254</v>
      </c>
      <c r="GJ4" s="37" t="s">
        <v>255</v>
      </c>
      <c r="GK4" s="37" t="s">
        <v>256</v>
      </c>
      <c r="GL4" s="31" t="s">
        <v>257</v>
      </c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6" t="s">
        <v>258</v>
      </c>
      <c r="HK4" s="36" t="s">
        <v>259</v>
      </c>
      <c r="HL4" s="36" t="s">
        <v>260</v>
      </c>
      <c r="HM4" s="36" t="s">
        <v>261</v>
      </c>
      <c r="HN4" s="36" t="s">
        <v>262</v>
      </c>
      <c r="HO4" s="37" t="s">
        <v>254</v>
      </c>
      <c r="HP4" s="37" t="s">
        <v>255</v>
      </c>
      <c r="HQ4" s="37" t="s">
        <v>256</v>
      </c>
      <c r="HR4" s="31" t="s">
        <v>257</v>
      </c>
      <c r="HS4" s="37" t="s">
        <v>269</v>
      </c>
      <c r="HT4" s="31" t="s">
        <v>270</v>
      </c>
      <c r="HU4" s="31" t="s">
        <v>271</v>
      </c>
      <c r="HV4" s="35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6" t="s">
        <v>258</v>
      </c>
      <c r="IW4" s="36" t="s">
        <v>259</v>
      </c>
      <c r="IX4" s="36" t="s">
        <v>260</v>
      </c>
      <c r="IY4" s="36" t="s">
        <v>261</v>
      </c>
      <c r="IZ4" s="36" t="s">
        <v>262</v>
      </c>
      <c r="JA4" s="37" t="s">
        <v>254</v>
      </c>
      <c r="JB4" s="37" t="s">
        <v>255</v>
      </c>
      <c r="JC4" s="37" t="s">
        <v>256</v>
      </c>
      <c r="JD4" s="31" t="s">
        <v>257</v>
      </c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6" t="s">
        <v>258</v>
      </c>
      <c r="KC4" s="36" t="s">
        <v>259</v>
      </c>
      <c r="KD4" s="36" t="s">
        <v>260</v>
      </c>
      <c r="KE4" s="36" t="s">
        <v>261</v>
      </c>
      <c r="KF4" s="36" t="s">
        <v>262</v>
      </c>
      <c r="KG4" s="37" t="s">
        <v>254</v>
      </c>
      <c r="KH4" s="37" t="s">
        <v>255</v>
      </c>
      <c r="KI4" s="37" t="s">
        <v>256</v>
      </c>
      <c r="KJ4" s="31" t="s">
        <v>257</v>
      </c>
      <c r="KK4" s="37" t="s">
        <v>272</v>
      </c>
      <c r="KL4" s="31" t="s">
        <v>273</v>
      </c>
      <c r="KM4" s="31" t="s">
        <v>274</v>
      </c>
    </row>
    <row r="5" spans="1:299" s="1" customFormat="1" ht="82.5">
      <c r="A5" s="8" t="s">
        <v>595</v>
      </c>
      <c r="B5" s="1">
        <v>67</v>
      </c>
      <c r="C5" s="20">
        <v>60</v>
      </c>
      <c r="D5" s="1">
        <v>2</v>
      </c>
      <c r="E5" s="1" t="s">
        <v>590</v>
      </c>
      <c r="F5" s="1">
        <v>21121</v>
      </c>
      <c r="G5" s="12" t="s">
        <v>67</v>
      </c>
      <c r="H5" s="12" t="s">
        <v>68</v>
      </c>
      <c r="I5" s="12" t="s">
        <v>22</v>
      </c>
      <c r="J5" s="13">
        <v>44887</v>
      </c>
      <c r="K5" s="30" t="s">
        <v>661</v>
      </c>
      <c r="L5" s="30" t="s">
        <v>662</v>
      </c>
      <c r="M5" s="14" t="s">
        <v>197</v>
      </c>
      <c r="N5" s="14" t="s">
        <v>196</v>
      </c>
      <c r="P5" s="10">
        <v>44886</v>
      </c>
      <c r="R5" s="10">
        <v>45070</v>
      </c>
      <c r="T5" s="32">
        <v>44882</v>
      </c>
      <c r="U5" s="30">
        <v>-5</v>
      </c>
      <c r="V5" s="30"/>
      <c r="W5" s="30">
        <v>40</v>
      </c>
      <c r="X5" s="30">
        <v>50</v>
      </c>
      <c r="Y5" s="30">
        <v>65</v>
      </c>
      <c r="Z5" s="30">
        <v>65</v>
      </c>
      <c r="AA5" s="30">
        <v>70</v>
      </c>
      <c r="AB5" s="30">
        <v>75</v>
      </c>
      <c r="AC5" s="33">
        <v>61.25</v>
      </c>
      <c r="AD5" s="30">
        <v>50</v>
      </c>
      <c r="AE5" s="30">
        <v>50</v>
      </c>
      <c r="AF5" s="30">
        <v>55</v>
      </c>
      <c r="AG5" s="30">
        <v>65</v>
      </c>
      <c r="AH5" s="30">
        <v>65</v>
      </c>
      <c r="AI5" s="30">
        <v>80</v>
      </c>
      <c r="AJ5" s="30">
        <v>85</v>
      </c>
      <c r="AK5" s="31">
        <v>110</v>
      </c>
      <c r="AL5" s="31" t="s">
        <v>234</v>
      </c>
      <c r="AM5" s="31" t="s">
        <v>234</v>
      </c>
      <c r="AN5" s="31" t="s">
        <v>234</v>
      </c>
      <c r="AO5" s="31" t="s">
        <v>234</v>
      </c>
      <c r="AP5" s="31" t="s">
        <v>234</v>
      </c>
      <c r="AQ5" s="31" t="s">
        <v>234</v>
      </c>
      <c r="AR5" s="31" t="s">
        <v>234</v>
      </c>
      <c r="AS5" s="33">
        <v>62.5</v>
      </c>
      <c r="AT5" s="33">
        <v>76</v>
      </c>
      <c r="AU5" s="33">
        <v>51.666666666666664</v>
      </c>
      <c r="AV5" s="33">
        <v>65</v>
      </c>
      <c r="AW5" s="33">
        <v>91.666666666666671</v>
      </c>
      <c r="AX5" s="33">
        <v>66.25</v>
      </c>
      <c r="AY5" s="34">
        <v>3</v>
      </c>
      <c r="AZ5" s="33">
        <v>3</v>
      </c>
      <c r="BA5" s="30">
        <v>65</v>
      </c>
      <c r="BB5" s="30">
        <v>88</v>
      </c>
      <c r="BC5" s="30">
        <v>30</v>
      </c>
      <c r="BD5" s="30">
        <v>40</v>
      </c>
      <c r="BE5" s="30">
        <v>50</v>
      </c>
      <c r="BF5" s="30">
        <v>55</v>
      </c>
      <c r="BG5" s="30">
        <v>70</v>
      </c>
      <c r="BH5" s="30">
        <v>70</v>
      </c>
      <c r="BI5" s="33">
        <v>48.75</v>
      </c>
      <c r="BJ5" s="30">
        <v>35</v>
      </c>
      <c r="BK5" s="30">
        <v>35</v>
      </c>
      <c r="BL5" s="30">
        <v>40</v>
      </c>
      <c r="BM5" s="30">
        <v>50</v>
      </c>
      <c r="BN5" s="30">
        <v>55</v>
      </c>
      <c r="BO5" s="30">
        <v>85</v>
      </c>
      <c r="BP5" s="30">
        <v>90</v>
      </c>
      <c r="BQ5" s="30">
        <v>105</v>
      </c>
      <c r="BR5" s="31" t="s">
        <v>234</v>
      </c>
      <c r="BS5" s="31" t="s">
        <v>234</v>
      </c>
      <c r="BT5" s="31" t="s">
        <v>234</v>
      </c>
      <c r="BU5" s="31" t="s">
        <v>234</v>
      </c>
      <c r="BV5" s="31" t="s">
        <v>234</v>
      </c>
      <c r="BW5" s="31" t="s">
        <v>234</v>
      </c>
      <c r="BX5" s="31" t="s">
        <v>234</v>
      </c>
      <c r="BY5" s="33">
        <v>48.75</v>
      </c>
      <c r="BZ5" s="33">
        <v>68</v>
      </c>
      <c r="CA5" s="33">
        <v>36.666666666666664</v>
      </c>
      <c r="CB5" s="33">
        <v>52.5</v>
      </c>
      <c r="CC5" s="33">
        <v>93.333333333333329</v>
      </c>
      <c r="CD5" s="33">
        <v>57.5</v>
      </c>
      <c r="CE5" s="30">
        <v>3</v>
      </c>
      <c r="CF5" s="33">
        <v>2</v>
      </c>
      <c r="CG5" s="30">
        <v>50</v>
      </c>
      <c r="CH5" s="30">
        <v>88</v>
      </c>
      <c r="CI5" s="30" t="s">
        <v>275</v>
      </c>
      <c r="CJ5" s="31" t="s">
        <v>276</v>
      </c>
      <c r="CK5" s="30"/>
      <c r="CL5" s="32">
        <v>44979</v>
      </c>
      <c r="CM5" s="30">
        <v>92</v>
      </c>
      <c r="CN5" s="30"/>
      <c r="CO5" s="30">
        <v>40</v>
      </c>
      <c r="CP5" s="30">
        <v>50</v>
      </c>
      <c r="CQ5" s="30">
        <v>60</v>
      </c>
      <c r="CR5" s="30">
        <v>65</v>
      </c>
      <c r="CS5" s="30">
        <v>65</v>
      </c>
      <c r="CT5" s="30">
        <v>70</v>
      </c>
      <c r="CU5" s="33">
        <v>58.75</v>
      </c>
      <c r="CV5" s="30">
        <v>50</v>
      </c>
      <c r="CW5" s="30">
        <v>55</v>
      </c>
      <c r="CX5" s="30">
        <v>50</v>
      </c>
      <c r="CY5" s="30">
        <v>60</v>
      </c>
      <c r="CZ5" s="30">
        <v>75</v>
      </c>
      <c r="DA5" s="30">
        <v>80</v>
      </c>
      <c r="DB5" s="30">
        <v>100</v>
      </c>
      <c r="DC5" s="30">
        <v>110</v>
      </c>
      <c r="DD5" s="30" t="s">
        <v>277</v>
      </c>
      <c r="DE5" s="30" t="s">
        <v>277</v>
      </c>
      <c r="DF5" s="30" t="s">
        <v>277</v>
      </c>
      <c r="DG5" s="30" t="s">
        <v>277</v>
      </c>
      <c r="DH5" s="30" t="s">
        <v>277</v>
      </c>
      <c r="DI5" s="30" t="s">
        <v>277</v>
      </c>
      <c r="DJ5" s="30" t="s">
        <v>277</v>
      </c>
      <c r="DK5" s="33">
        <v>61.25</v>
      </c>
      <c r="DL5" s="33">
        <v>79</v>
      </c>
      <c r="DM5" s="33">
        <v>51.666666666666664</v>
      </c>
      <c r="DN5" s="33">
        <v>67.5</v>
      </c>
      <c r="DO5" s="33">
        <v>96.666666666666671</v>
      </c>
      <c r="DP5" s="33">
        <v>66.25</v>
      </c>
      <c r="DQ5" s="30">
        <v>3</v>
      </c>
      <c r="DR5" s="33">
        <v>3</v>
      </c>
      <c r="DS5" s="30">
        <v>55</v>
      </c>
      <c r="DT5" s="30">
        <v>92</v>
      </c>
      <c r="DU5" s="30">
        <v>30</v>
      </c>
      <c r="DV5" s="30">
        <v>45</v>
      </c>
      <c r="DW5" s="30">
        <v>45</v>
      </c>
      <c r="DX5" s="30">
        <v>60</v>
      </c>
      <c r="DY5" s="30">
        <v>70</v>
      </c>
      <c r="DZ5" s="30">
        <v>70</v>
      </c>
      <c r="EA5" s="33">
        <v>48.75</v>
      </c>
      <c r="EB5" s="30">
        <v>35</v>
      </c>
      <c r="EC5" s="30">
        <v>40</v>
      </c>
      <c r="ED5" s="30">
        <v>45</v>
      </c>
      <c r="EE5" s="30">
        <v>45</v>
      </c>
      <c r="EF5" s="30">
        <v>60</v>
      </c>
      <c r="EG5" s="30">
        <v>85</v>
      </c>
      <c r="EH5" s="30">
        <v>95</v>
      </c>
      <c r="EI5" s="30">
        <v>110</v>
      </c>
      <c r="EJ5" s="30" t="s">
        <v>277</v>
      </c>
      <c r="EK5" s="30" t="s">
        <v>277</v>
      </c>
      <c r="EL5" s="30" t="s">
        <v>277</v>
      </c>
      <c r="EM5" s="30" t="s">
        <v>277</v>
      </c>
      <c r="EN5" s="30" t="s">
        <v>277</v>
      </c>
      <c r="EO5" s="30" t="s">
        <v>277</v>
      </c>
      <c r="EP5" s="30" t="s">
        <v>277</v>
      </c>
      <c r="EQ5" s="33">
        <v>48.75</v>
      </c>
      <c r="ER5" s="33">
        <v>71</v>
      </c>
      <c r="ES5" s="33">
        <v>40</v>
      </c>
      <c r="ET5" s="33">
        <v>52.5</v>
      </c>
      <c r="EU5" s="33">
        <v>96.666666666666671</v>
      </c>
      <c r="EV5" s="33">
        <v>58.75</v>
      </c>
      <c r="EW5" s="30">
        <v>3</v>
      </c>
      <c r="EX5" s="33">
        <v>2</v>
      </c>
      <c r="EY5" s="30">
        <v>45</v>
      </c>
      <c r="EZ5" s="30">
        <v>96</v>
      </c>
      <c r="FA5" s="30" t="s">
        <v>278</v>
      </c>
      <c r="FB5" s="30" t="s">
        <v>279</v>
      </c>
      <c r="FC5" s="30"/>
      <c r="FD5" s="32">
        <v>45070</v>
      </c>
      <c r="FE5" s="30">
        <v>183</v>
      </c>
      <c r="FF5" s="30"/>
      <c r="FG5" s="30">
        <v>45</v>
      </c>
      <c r="FH5" s="30">
        <v>50</v>
      </c>
      <c r="FI5" s="30">
        <v>60</v>
      </c>
      <c r="FJ5" s="30">
        <v>70</v>
      </c>
      <c r="FK5" s="30">
        <v>90</v>
      </c>
      <c r="FL5" s="30">
        <v>95</v>
      </c>
      <c r="FM5" s="33">
        <v>60</v>
      </c>
      <c r="FN5" s="30">
        <v>55</v>
      </c>
      <c r="FO5" s="30">
        <v>55</v>
      </c>
      <c r="FP5" s="30">
        <v>55</v>
      </c>
      <c r="FQ5" s="30">
        <v>60</v>
      </c>
      <c r="FR5" s="30">
        <v>70</v>
      </c>
      <c r="FS5" s="30">
        <v>90</v>
      </c>
      <c r="FT5" s="30">
        <v>105</v>
      </c>
      <c r="FU5" s="42">
        <v>105</v>
      </c>
      <c r="FV5" s="30" t="s">
        <v>234</v>
      </c>
      <c r="FW5" s="30" t="s">
        <v>234</v>
      </c>
      <c r="FX5" s="30" t="s">
        <v>234</v>
      </c>
      <c r="FY5" s="30" t="s">
        <v>234</v>
      </c>
      <c r="FZ5" s="30" t="s">
        <v>234</v>
      </c>
      <c r="GA5" s="30" t="s">
        <v>234</v>
      </c>
      <c r="GB5" s="30" t="s">
        <v>234</v>
      </c>
      <c r="GC5" s="33">
        <v>61.25</v>
      </c>
      <c r="GD5" s="33">
        <v>79</v>
      </c>
      <c r="GE5" s="33">
        <v>55</v>
      </c>
      <c r="GF5" s="33">
        <v>65</v>
      </c>
      <c r="GG5" s="33">
        <v>100</v>
      </c>
      <c r="GH5" s="33">
        <v>68.75</v>
      </c>
      <c r="GI5" s="30">
        <v>3</v>
      </c>
      <c r="GJ5" s="33">
        <v>3</v>
      </c>
      <c r="GK5" s="30">
        <v>55</v>
      </c>
      <c r="GL5" s="30">
        <v>72</v>
      </c>
      <c r="GM5" s="30">
        <v>40</v>
      </c>
      <c r="GN5" s="30">
        <v>55</v>
      </c>
      <c r="GO5" s="30">
        <v>60</v>
      </c>
      <c r="GP5" s="30">
        <v>65</v>
      </c>
      <c r="GQ5" s="30">
        <v>90</v>
      </c>
      <c r="GR5" s="30">
        <v>90</v>
      </c>
      <c r="GS5" s="30">
        <v>60</v>
      </c>
      <c r="GT5" s="30">
        <v>55</v>
      </c>
      <c r="GU5" s="30">
        <v>60</v>
      </c>
      <c r="GV5" s="30">
        <v>60</v>
      </c>
      <c r="GW5" s="30">
        <v>60</v>
      </c>
      <c r="GX5" s="30">
        <v>65</v>
      </c>
      <c r="GY5" s="30">
        <v>90</v>
      </c>
      <c r="GZ5" s="30">
        <v>100</v>
      </c>
      <c r="HA5" s="42">
        <v>100</v>
      </c>
      <c r="HB5" s="30" t="s">
        <v>277</v>
      </c>
      <c r="HC5" s="30" t="s">
        <v>277</v>
      </c>
      <c r="HD5" s="30" t="s">
        <v>277</v>
      </c>
      <c r="HE5" s="30" t="s">
        <v>277</v>
      </c>
      <c r="HF5" s="30" t="s">
        <v>277</v>
      </c>
      <c r="HG5" s="30" t="s">
        <v>277</v>
      </c>
      <c r="HH5" s="30" t="s">
        <v>277</v>
      </c>
      <c r="HI5" s="30">
        <v>61.25</v>
      </c>
      <c r="HJ5" s="30">
        <v>77</v>
      </c>
      <c r="HK5" s="30">
        <v>58.333333333333336</v>
      </c>
      <c r="HL5" s="30">
        <v>62.5</v>
      </c>
      <c r="HM5" s="30">
        <v>96.666666666666671</v>
      </c>
      <c r="HN5" s="30">
        <v>68.75</v>
      </c>
      <c r="HO5" s="30">
        <v>3</v>
      </c>
      <c r="HP5" s="30">
        <v>3</v>
      </c>
      <c r="HQ5" s="30">
        <v>50</v>
      </c>
      <c r="HR5" s="30">
        <v>80</v>
      </c>
      <c r="HS5" s="30"/>
      <c r="HT5" s="30"/>
      <c r="HU5" s="30" t="s">
        <v>280</v>
      </c>
      <c r="HV5" s="32">
        <v>45229</v>
      </c>
      <c r="HW5" s="30">
        <v>342</v>
      </c>
      <c r="HX5" s="30"/>
      <c r="HY5" s="30">
        <v>50</v>
      </c>
      <c r="HZ5" s="30">
        <v>70</v>
      </c>
      <c r="IA5" s="30">
        <v>70</v>
      </c>
      <c r="IB5" s="30">
        <v>75</v>
      </c>
      <c r="IC5" s="30">
        <v>75</v>
      </c>
      <c r="ID5" s="30">
        <v>75</v>
      </c>
      <c r="IE5" s="30">
        <v>71.25</v>
      </c>
      <c r="IF5" s="30">
        <v>55</v>
      </c>
      <c r="IG5" s="30">
        <v>60</v>
      </c>
      <c r="IH5" s="30">
        <v>70</v>
      </c>
      <c r="II5" s="30">
        <v>70</v>
      </c>
      <c r="IJ5" s="30">
        <v>75</v>
      </c>
      <c r="IK5" s="30">
        <v>95</v>
      </c>
      <c r="IL5" s="30">
        <v>110</v>
      </c>
      <c r="IM5" s="42">
        <v>110</v>
      </c>
      <c r="IN5" s="30" t="s">
        <v>277</v>
      </c>
      <c r="IO5" s="30" t="s">
        <v>277</v>
      </c>
      <c r="IP5" s="30" t="s">
        <v>277</v>
      </c>
      <c r="IQ5" s="30" t="s">
        <v>277</v>
      </c>
      <c r="IR5" s="30" t="s">
        <v>277</v>
      </c>
      <c r="IS5" s="30" t="s">
        <v>277</v>
      </c>
      <c r="IT5" s="30" t="s">
        <v>277</v>
      </c>
      <c r="IU5" s="30">
        <v>71.25</v>
      </c>
      <c r="IV5" s="30">
        <v>87</v>
      </c>
      <c r="IW5" s="30">
        <v>61.666666666666664</v>
      </c>
      <c r="IX5" s="30">
        <v>72.5</v>
      </c>
      <c r="IY5" s="30">
        <v>105</v>
      </c>
      <c r="IZ5" s="30">
        <v>77.5</v>
      </c>
      <c r="JA5" s="30">
        <v>3</v>
      </c>
      <c r="JB5" s="30">
        <v>3</v>
      </c>
      <c r="JC5" s="30">
        <v>60</v>
      </c>
      <c r="JD5" s="30">
        <v>80</v>
      </c>
      <c r="JE5" s="30">
        <v>35</v>
      </c>
      <c r="JF5" s="30">
        <v>50</v>
      </c>
      <c r="JG5" s="30">
        <v>55</v>
      </c>
      <c r="JH5" s="30">
        <v>55</v>
      </c>
      <c r="JI5" s="30">
        <v>80</v>
      </c>
      <c r="JJ5" s="30">
        <v>75</v>
      </c>
      <c r="JK5" s="30">
        <v>53.75</v>
      </c>
      <c r="JL5" s="30">
        <v>45</v>
      </c>
      <c r="JM5" s="30">
        <v>45</v>
      </c>
      <c r="JN5" s="30">
        <v>50</v>
      </c>
      <c r="JO5" s="30">
        <v>55</v>
      </c>
      <c r="JP5" s="30">
        <v>55</v>
      </c>
      <c r="JQ5" s="30">
        <v>85</v>
      </c>
      <c r="JR5" s="30">
        <v>100</v>
      </c>
      <c r="JS5" s="42">
        <v>110</v>
      </c>
      <c r="JT5" s="30" t="s">
        <v>277</v>
      </c>
      <c r="JU5" s="30" t="s">
        <v>277</v>
      </c>
      <c r="JV5" s="30" t="s">
        <v>277</v>
      </c>
      <c r="JW5" s="30" t="s">
        <v>277</v>
      </c>
      <c r="JX5" s="30" t="s">
        <v>277</v>
      </c>
      <c r="JY5" s="30" t="s">
        <v>277</v>
      </c>
      <c r="JZ5" s="30" t="s">
        <v>277</v>
      </c>
      <c r="KA5" s="30">
        <v>53.75</v>
      </c>
      <c r="KB5" s="30">
        <v>74</v>
      </c>
      <c r="KC5" s="30">
        <v>46.666666666666664</v>
      </c>
      <c r="KD5" s="30">
        <v>55</v>
      </c>
      <c r="KE5" s="30">
        <v>98.333333333333329</v>
      </c>
      <c r="KF5" s="30">
        <v>61.25</v>
      </c>
      <c r="KG5" s="30">
        <v>3</v>
      </c>
      <c r="KH5" s="30">
        <v>3</v>
      </c>
      <c r="KI5" s="30">
        <v>50</v>
      </c>
      <c r="KJ5" s="30">
        <v>80</v>
      </c>
      <c r="KK5" s="30" t="s">
        <v>281</v>
      </c>
      <c r="KL5" s="30" t="s">
        <v>282</v>
      </c>
    </row>
    <row r="6" spans="1:299" s="1" customFormat="1">
      <c r="A6" s="8" t="s">
        <v>596</v>
      </c>
      <c r="B6" s="1">
        <v>59</v>
      </c>
      <c r="C6" s="1">
        <v>50</v>
      </c>
      <c r="D6" s="1">
        <v>1</v>
      </c>
      <c r="E6" s="1" t="s">
        <v>592</v>
      </c>
      <c r="F6" s="73" t="s">
        <v>585</v>
      </c>
      <c r="G6" s="10">
        <v>44118</v>
      </c>
      <c r="H6" s="10">
        <v>44137</v>
      </c>
      <c r="I6" s="12" t="s">
        <v>22</v>
      </c>
      <c r="J6" s="10">
        <v>44138</v>
      </c>
      <c r="K6" s="30" t="s">
        <v>664</v>
      </c>
      <c r="L6" s="30" t="s">
        <v>663</v>
      </c>
      <c r="M6" s="1" t="s">
        <v>179</v>
      </c>
      <c r="T6" s="35">
        <v>44125</v>
      </c>
      <c r="U6" s="30">
        <v>-13</v>
      </c>
      <c r="V6" s="30" t="s">
        <v>555</v>
      </c>
      <c r="W6" s="30">
        <v>0</v>
      </c>
      <c r="X6" s="30">
        <v>0</v>
      </c>
      <c r="Y6" s="30">
        <v>0</v>
      </c>
      <c r="Z6" s="30">
        <v>20</v>
      </c>
      <c r="AA6" s="30">
        <v>35</v>
      </c>
      <c r="AB6" s="30">
        <v>20</v>
      </c>
      <c r="AC6" s="33">
        <v>5</v>
      </c>
      <c r="AD6" s="30">
        <v>30</v>
      </c>
      <c r="AE6" s="30">
        <v>30</v>
      </c>
      <c r="AF6" s="30">
        <v>35</v>
      </c>
      <c r="AG6" s="30">
        <v>30</v>
      </c>
      <c r="AH6" s="30">
        <v>20</v>
      </c>
      <c r="AI6" s="30">
        <v>45</v>
      </c>
      <c r="AJ6" s="30">
        <v>55</v>
      </c>
      <c r="AK6" s="30">
        <v>85</v>
      </c>
      <c r="AL6" s="43">
        <v>85</v>
      </c>
      <c r="AM6" s="31" t="s">
        <v>234</v>
      </c>
      <c r="AN6" s="43">
        <v>75</v>
      </c>
      <c r="AO6" s="43">
        <v>65</v>
      </c>
      <c r="AP6" s="43">
        <v>45</v>
      </c>
      <c r="AQ6" s="43">
        <v>20</v>
      </c>
      <c r="AR6" s="43">
        <v>0</v>
      </c>
      <c r="AS6" s="33">
        <v>28.75</v>
      </c>
      <c r="AT6" s="33">
        <v>45</v>
      </c>
      <c r="AU6" s="33">
        <v>31.666666666666668</v>
      </c>
      <c r="AV6" s="33">
        <v>25</v>
      </c>
      <c r="AW6" s="33">
        <v>61.666666666666664</v>
      </c>
      <c r="AX6" s="33">
        <v>32.5</v>
      </c>
      <c r="AY6" s="34">
        <v>3</v>
      </c>
      <c r="AZ6" s="33">
        <v>1</v>
      </c>
      <c r="BA6" s="30">
        <v>35</v>
      </c>
      <c r="BB6" s="30">
        <v>100</v>
      </c>
      <c r="BC6" s="30">
        <v>0</v>
      </c>
      <c r="BD6" s="30">
        <v>5</v>
      </c>
      <c r="BE6" s="30">
        <v>10</v>
      </c>
      <c r="BF6" s="30">
        <v>15</v>
      </c>
      <c r="BG6" s="30">
        <v>30</v>
      </c>
      <c r="BH6" s="30">
        <v>30</v>
      </c>
      <c r="BI6" s="33">
        <v>10</v>
      </c>
      <c r="BJ6" s="30">
        <v>10</v>
      </c>
      <c r="BK6" s="30">
        <v>15</v>
      </c>
      <c r="BL6" s="30">
        <v>15</v>
      </c>
      <c r="BM6" s="30">
        <v>10</v>
      </c>
      <c r="BN6" s="30">
        <v>15</v>
      </c>
      <c r="BO6" s="30">
        <v>30</v>
      </c>
      <c r="BP6" s="30">
        <v>40</v>
      </c>
      <c r="BQ6" s="30">
        <v>30</v>
      </c>
      <c r="BR6" s="44">
        <v>55</v>
      </c>
      <c r="BS6" s="31" t="s">
        <v>234</v>
      </c>
      <c r="BT6" s="43">
        <v>75</v>
      </c>
      <c r="BU6" s="43">
        <v>65</v>
      </c>
      <c r="BV6" s="43">
        <v>45</v>
      </c>
      <c r="BW6" s="43">
        <v>20</v>
      </c>
      <c r="BX6" s="43">
        <v>0</v>
      </c>
      <c r="BY6" s="33">
        <v>12.5</v>
      </c>
      <c r="BZ6" s="33">
        <v>22</v>
      </c>
      <c r="CA6" s="33">
        <v>13.333333333333334</v>
      </c>
      <c r="CB6" s="33">
        <v>12.5</v>
      </c>
      <c r="CC6" s="33">
        <v>33.333333333333336</v>
      </c>
      <c r="CD6" s="33">
        <v>17.5</v>
      </c>
      <c r="CE6" s="30">
        <v>3</v>
      </c>
      <c r="CF6" s="33">
        <v>0</v>
      </c>
      <c r="CG6" s="30">
        <v>20</v>
      </c>
      <c r="CH6" s="30">
        <v>100</v>
      </c>
      <c r="CI6" s="31" t="s">
        <v>283</v>
      </c>
      <c r="CJ6" s="31" t="s">
        <v>284</v>
      </c>
      <c r="CK6" s="72"/>
      <c r="CL6" s="45"/>
      <c r="CM6" s="30">
        <v>-44138</v>
      </c>
      <c r="CN6" s="30"/>
      <c r="CO6" s="30"/>
      <c r="CP6" s="30"/>
      <c r="CQ6" s="30"/>
      <c r="CR6" s="30"/>
      <c r="CS6" s="30"/>
      <c r="CT6" s="30"/>
      <c r="CU6" s="33">
        <v>0</v>
      </c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3">
        <v>0</v>
      </c>
      <c r="DL6" s="33" t="e">
        <v>#DIV/0!</v>
      </c>
      <c r="DM6" s="33" t="e">
        <v>#DIV/0!</v>
      </c>
      <c r="DN6" s="33" t="e">
        <v>#DIV/0!</v>
      </c>
      <c r="DO6" s="33" t="e">
        <v>#DIV/0!</v>
      </c>
      <c r="DP6" s="33" t="e">
        <v>#DIV/0!</v>
      </c>
      <c r="DQ6" s="30" t="e">
        <v>#DIV/0!</v>
      </c>
      <c r="DR6" s="33" t="e">
        <v>#DIV/0!</v>
      </c>
      <c r="DS6" s="30"/>
      <c r="DT6" s="30"/>
      <c r="DU6" s="30"/>
      <c r="DV6" s="30"/>
      <c r="DW6" s="30"/>
      <c r="DX6" s="30"/>
      <c r="DY6" s="30"/>
      <c r="DZ6" s="30"/>
      <c r="EA6" s="33">
        <v>0</v>
      </c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3">
        <v>0</v>
      </c>
      <c r="ER6" s="33" t="e">
        <v>#DIV/0!</v>
      </c>
      <c r="ES6" s="33" t="e">
        <v>#DIV/0!</v>
      </c>
      <c r="ET6" s="33" t="e">
        <v>#DIV/0!</v>
      </c>
      <c r="EU6" s="33" t="e">
        <v>#DIV/0!</v>
      </c>
      <c r="EV6" s="33" t="e">
        <v>#DIV/0!</v>
      </c>
      <c r="EW6" s="30" t="e">
        <v>#DIV/0!</v>
      </c>
      <c r="EX6" s="33" t="e">
        <v>#DIV/0!</v>
      </c>
      <c r="EY6" s="30"/>
      <c r="EZ6" s="30"/>
      <c r="FA6" s="30"/>
      <c r="FB6" s="30"/>
      <c r="FC6" s="56"/>
      <c r="FD6" s="46"/>
      <c r="FE6" s="30">
        <v>-44138</v>
      </c>
      <c r="FF6" s="30"/>
      <c r="FG6" s="30"/>
      <c r="FH6" s="30"/>
      <c r="FI6" s="30"/>
      <c r="FJ6" s="30"/>
      <c r="FK6" s="30"/>
      <c r="FL6" s="30"/>
      <c r="FM6" s="33">
        <v>0</v>
      </c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3">
        <v>0</v>
      </c>
      <c r="GD6" s="33" t="e">
        <v>#DIV/0!</v>
      </c>
      <c r="GE6" s="33" t="e">
        <v>#DIV/0!</v>
      </c>
      <c r="GF6" s="33" t="e">
        <v>#DIV/0!</v>
      </c>
      <c r="GG6" s="33" t="e">
        <v>#DIV/0!</v>
      </c>
      <c r="GH6" s="33" t="e">
        <v>#DIV/0!</v>
      </c>
      <c r="GI6" s="30" t="e">
        <v>#DIV/0!</v>
      </c>
      <c r="GJ6" s="33" t="e">
        <v>#DIV/0!</v>
      </c>
      <c r="GK6" s="30"/>
      <c r="GL6" s="30"/>
      <c r="GM6" s="30"/>
      <c r="GN6" s="30"/>
      <c r="GO6" s="30"/>
      <c r="GP6" s="30"/>
      <c r="GQ6" s="30"/>
      <c r="GR6" s="30"/>
      <c r="GS6" s="30">
        <v>0</v>
      </c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>
        <v>0</v>
      </c>
      <c r="HJ6" s="30" t="e">
        <v>#DIV/0!</v>
      </c>
      <c r="HK6" s="30" t="e">
        <v>#DIV/0!</v>
      </c>
      <c r="HL6" s="30" t="e">
        <v>#DIV/0!</v>
      </c>
      <c r="HM6" s="30" t="e">
        <v>#DIV/0!</v>
      </c>
      <c r="HN6" s="30" t="e">
        <v>#DIV/0!</v>
      </c>
      <c r="HO6" s="30" t="e">
        <v>#DIV/0!</v>
      </c>
      <c r="HP6" s="30" t="e">
        <v>#DIV/0!</v>
      </c>
      <c r="HQ6" s="30"/>
      <c r="HR6" s="30"/>
      <c r="HS6" s="30"/>
      <c r="HT6" s="30"/>
      <c r="HU6" s="56"/>
      <c r="HV6" s="46"/>
      <c r="HW6" s="30">
        <v>-44138</v>
      </c>
      <c r="HX6" s="30"/>
      <c r="HY6" s="30"/>
      <c r="HZ6" s="30"/>
      <c r="IA6" s="30"/>
      <c r="IB6" s="30"/>
      <c r="IC6" s="30"/>
      <c r="ID6" s="30"/>
      <c r="IE6" s="30">
        <v>0</v>
      </c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>
        <v>0</v>
      </c>
      <c r="IV6" s="30" t="e">
        <v>#DIV/0!</v>
      </c>
      <c r="IW6" s="30" t="e">
        <v>#DIV/0!</v>
      </c>
      <c r="IX6" s="30" t="e">
        <v>#DIV/0!</v>
      </c>
      <c r="IY6" s="30" t="e">
        <v>#DIV/0!</v>
      </c>
      <c r="IZ6" s="30" t="e">
        <v>#DIV/0!</v>
      </c>
      <c r="JA6" s="30" t="e">
        <v>#DIV/0!</v>
      </c>
      <c r="JB6" s="30" t="e">
        <v>#DIV/0!</v>
      </c>
      <c r="JC6" s="30"/>
      <c r="JD6" s="30"/>
      <c r="JE6" s="30"/>
      <c r="JF6" s="30"/>
      <c r="JG6" s="30"/>
      <c r="JH6" s="30"/>
      <c r="JI6" s="30"/>
      <c r="JJ6" s="30"/>
      <c r="JK6" s="30">
        <v>0</v>
      </c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>
        <v>0</v>
      </c>
      <c r="KB6" s="30" t="e">
        <v>#DIV/0!</v>
      </c>
      <c r="KC6" s="30" t="e">
        <v>#DIV/0!</v>
      </c>
      <c r="KD6" s="30" t="e">
        <v>#DIV/0!</v>
      </c>
      <c r="KE6" s="30" t="e">
        <v>#DIV/0!</v>
      </c>
      <c r="KF6" s="30" t="e">
        <v>#DIV/0!</v>
      </c>
      <c r="KG6" s="30" t="e">
        <v>#DIV/0!</v>
      </c>
      <c r="KH6" s="30" t="e">
        <v>#DIV/0!</v>
      </c>
      <c r="KI6" s="30"/>
      <c r="KJ6" s="30"/>
      <c r="KK6" s="30"/>
      <c r="KL6" s="30"/>
      <c r="KM6" s="30"/>
    </row>
    <row r="7" spans="1:299" s="1" customFormat="1">
      <c r="A7" s="8" t="s">
        <v>597</v>
      </c>
      <c r="B7" s="1">
        <v>69</v>
      </c>
      <c r="C7" s="20">
        <v>60</v>
      </c>
      <c r="D7" s="1">
        <v>2</v>
      </c>
      <c r="E7" s="1" t="s">
        <v>588</v>
      </c>
      <c r="F7" s="87">
        <v>21125</v>
      </c>
      <c r="G7" s="12" t="s">
        <v>40</v>
      </c>
      <c r="H7" s="12" t="s">
        <v>41</v>
      </c>
      <c r="I7" s="12" t="s">
        <v>22</v>
      </c>
      <c r="J7" s="13">
        <v>45022</v>
      </c>
      <c r="K7" s="30" t="s">
        <v>664</v>
      </c>
      <c r="L7" s="30" t="s">
        <v>665</v>
      </c>
      <c r="M7" s="1" t="s">
        <v>149</v>
      </c>
      <c r="N7" s="12" t="s">
        <v>114</v>
      </c>
      <c r="O7" s="1">
        <v>0</v>
      </c>
      <c r="P7" s="10">
        <v>45021</v>
      </c>
      <c r="R7" s="10">
        <v>45217</v>
      </c>
      <c r="T7" s="32">
        <v>45020</v>
      </c>
      <c r="U7" s="30">
        <v>-2</v>
      </c>
      <c r="V7" s="30" t="s">
        <v>571</v>
      </c>
      <c r="W7" s="30">
        <v>5</v>
      </c>
      <c r="X7" s="30">
        <v>20</v>
      </c>
      <c r="Y7" s="30">
        <v>0</v>
      </c>
      <c r="Z7" s="30">
        <v>30</v>
      </c>
      <c r="AA7" s="30">
        <v>45</v>
      </c>
      <c r="AB7" s="30">
        <v>40</v>
      </c>
      <c r="AC7" s="33">
        <v>12.5</v>
      </c>
      <c r="AD7" s="30">
        <v>45</v>
      </c>
      <c r="AE7" s="30">
        <v>45</v>
      </c>
      <c r="AF7" s="30">
        <v>50</v>
      </c>
      <c r="AG7" s="30">
        <v>35</v>
      </c>
      <c r="AH7" s="30">
        <v>40</v>
      </c>
      <c r="AI7" s="30">
        <v>45</v>
      </c>
      <c r="AJ7" s="30">
        <v>50</v>
      </c>
      <c r="AK7" s="30">
        <v>85</v>
      </c>
      <c r="AL7" s="31" t="s">
        <v>234</v>
      </c>
      <c r="AM7" s="31" t="s">
        <v>234</v>
      </c>
      <c r="AN7" s="31" t="s">
        <v>234</v>
      </c>
      <c r="AO7" s="31" t="s">
        <v>234</v>
      </c>
      <c r="AP7" s="31" t="s">
        <v>234</v>
      </c>
      <c r="AQ7" s="31" t="s">
        <v>234</v>
      </c>
      <c r="AR7" s="31" t="s">
        <v>234</v>
      </c>
      <c r="AS7" s="33">
        <v>40</v>
      </c>
      <c r="AT7" s="33">
        <v>52</v>
      </c>
      <c r="AU7" s="33">
        <v>46.666666666666664</v>
      </c>
      <c r="AV7" s="33">
        <v>37.5</v>
      </c>
      <c r="AW7" s="33">
        <v>60</v>
      </c>
      <c r="AX7" s="33">
        <v>42.5</v>
      </c>
      <c r="AY7" s="34">
        <v>3</v>
      </c>
      <c r="AZ7" s="33">
        <v>2</v>
      </c>
      <c r="BA7" s="30">
        <v>45</v>
      </c>
      <c r="BB7" s="30">
        <v>92</v>
      </c>
      <c r="BC7" s="30">
        <v>15</v>
      </c>
      <c r="BD7" s="30">
        <v>20</v>
      </c>
      <c r="BE7" s="30">
        <v>20</v>
      </c>
      <c r="BF7" s="30">
        <v>10</v>
      </c>
      <c r="BG7" s="30">
        <v>35</v>
      </c>
      <c r="BH7" s="30">
        <v>30</v>
      </c>
      <c r="BI7" s="33">
        <v>17.5</v>
      </c>
      <c r="BJ7" s="30">
        <v>30</v>
      </c>
      <c r="BK7" s="30">
        <v>25</v>
      </c>
      <c r="BL7" s="30">
        <v>20</v>
      </c>
      <c r="BM7" s="30">
        <v>20</v>
      </c>
      <c r="BN7" s="30">
        <v>10</v>
      </c>
      <c r="BO7" s="30">
        <v>35</v>
      </c>
      <c r="BP7" s="30">
        <v>40</v>
      </c>
      <c r="BQ7" s="30">
        <v>60</v>
      </c>
      <c r="BR7" s="31" t="s">
        <v>234</v>
      </c>
      <c r="BS7" s="31" t="s">
        <v>234</v>
      </c>
      <c r="BT7" s="31" t="s">
        <v>234</v>
      </c>
      <c r="BU7" s="31" t="s">
        <v>234</v>
      </c>
      <c r="BV7" s="31" t="s">
        <v>234</v>
      </c>
      <c r="BW7" s="31" t="s">
        <v>234</v>
      </c>
      <c r="BX7" s="31" t="s">
        <v>234</v>
      </c>
      <c r="BY7" s="33">
        <v>17.5</v>
      </c>
      <c r="BZ7" s="33">
        <v>30</v>
      </c>
      <c r="CA7" s="33">
        <v>25</v>
      </c>
      <c r="CB7" s="33">
        <v>15</v>
      </c>
      <c r="CC7" s="33">
        <v>45</v>
      </c>
      <c r="CD7" s="33">
        <v>21.25</v>
      </c>
      <c r="CE7" s="31" t="s">
        <v>235</v>
      </c>
      <c r="CF7" s="33">
        <v>1</v>
      </c>
      <c r="CG7" s="30">
        <v>20</v>
      </c>
      <c r="CH7" s="30">
        <v>100</v>
      </c>
      <c r="CI7" s="30" t="s">
        <v>285</v>
      </c>
      <c r="CJ7" s="30" t="s">
        <v>286</v>
      </c>
      <c r="CK7" s="56"/>
      <c r="CL7" s="32">
        <v>45112</v>
      </c>
      <c r="CM7" s="30">
        <v>90</v>
      </c>
      <c r="CN7" s="30"/>
      <c r="CO7" s="30">
        <v>30</v>
      </c>
      <c r="CP7" s="30">
        <v>45</v>
      </c>
      <c r="CQ7" s="30">
        <v>45</v>
      </c>
      <c r="CR7" s="30">
        <v>50</v>
      </c>
      <c r="CS7" s="30">
        <v>50</v>
      </c>
      <c r="CT7" s="30">
        <v>45</v>
      </c>
      <c r="CU7" s="33">
        <v>46.25</v>
      </c>
      <c r="CV7" s="30">
        <v>60</v>
      </c>
      <c r="CW7" s="30">
        <v>50</v>
      </c>
      <c r="CX7" s="30">
        <v>55</v>
      </c>
      <c r="CY7" s="30">
        <v>85</v>
      </c>
      <c r="CZ7" s="30">
        <v>50</v>
      </c>
      <c r="DA7" s="30">
        <v>80</v>
      </c>
      <c r="DB7" s="30">
        <v>90</v>
      </c>
      <c r="DC7" s="30">
        <v>85</v>
      </c>
      <c r="DD7" s="30" t="s">
        <v>277</v>
      </c>
      <c r="DE7" s="30" t="s">
        <v>277</v>
      </c>
      <c r="DF7" s="30" t="s">
        <v>277</v>
      </c>
      <c r="DG7" s="30" t="s">
        <v>277</v>
      </c>
      <c r="DH7" s="30" t="s">
        <v>277</v>
      </c>
      <c r="DI7" s="30" t="s">
        <v>277</v>
      </c>
      <c r="DJ7" s="30" t="s">
        <v>277</v>
      </c>
      <c r="DK7" s="33">
        <v>68.75</v>
      </c>
      <c r="DL7" s="33">
        <v>73</v>
      </c>
      <c r="DM7" s="33">
        <v>55</v>
      </c>
      <c r="DN7" s="33">
        <v>67.5</v>
      </c>
      <c r="DO7" s="33">
        <v>85</v>
      </c>
      <c r="DP7" s="33">
        <v>67.5</v>
      </c>
      <c r="DQ7" s="30">
        <v>6</v>
      </c>
      <c r="DR7" s="33">
        <v>3</v>
      </c>
      <c r="DS7" s="30">
        <v>70</v>
      </c>
      <c r="DT7" s="30">
        <v>64</v>
      </c>
      <c r="DU7" s="30">
        <v>15</v>
      </c>
      <c r="DV7" s="30">
        <v>25</v>
      </c>
      <c r="DW7" s="30">
        <v>25</v>
      </c>
      <c r="DX7" s="30">
        <v>15</v>
      </c>
      <c r="DY7" s="30">
        <v>35</v>
      </c>
      <c r="DZ7" s="30">
        <v>45</v>
      </c>
      <c r="EA7" s="33">
        <v>22.5</v>
      </c>
      <c r="EB7" s="30">
        <v>30</v>
      </c>
      <c r="EC7" s="30">
        <v>25</v>
      </c>
      <c r="ED7" s="30">
        <v>25</v>
      </c>
      <c r="EE7" s="30">
        <v>25</v>
      </c>
      <c r="EF7" s="30">
        <v>15</v>
      </c>
      <c r="EG7" s="30">
        <v>35</v>
      </c>
      <c r="EH7" s="30">
        <v>45</v>
      </c>
      <c r="EI7" s="30">
        <v>70</v>
      </c>
      <c r="EJ7" s="30" t="s">
        <v>277</v>
      </c>
      <c r="EK7" s="30" t="s">
        <v>277</v>
      </c>
      <c r="EL7" s="30" t="s">
        <v>277</v>
      </c>
      <c r="EM7" s="30" t="s">
        <v>277</v>
      </c>
      <c r="EN7" s="30" t="s">
        <v>277</v>
      </c>
      <c r="EO7" s="30" t="s">
        <v>277</v>
      </c>
      <c r="EP7" s="30" t="s">
        <v>277</v>
      </c>
      <c r="EQ7" s="33">
        <v>22.5</v>
      </c>
      <c r="ER7" s="33">
        <v>36</v>
      </c>
      <c r="ES7" s="33">
        <v>26.666666666666668</v>
      </c>
      <c r="ET7" s="33">
        <v>20</v>
      </c>
      <c r="EU7" s="33">
        <v>50</v>
      </c>
      <c r="EV7" s="33">
        <v>25</v>
      </c>
      <c r="EW7" s="30" t="s">
        <v>235</v>
      </c>
      <c r="EX7" s="33">
        <v>1</v>
      </c>
      <c r="EY7" s="30">
        <v>20</v>
      </c>
      <c r="EZ7" s="30">
        <v>100</v>
      </c>
      <c r="FA7" s="30" t="s">
        <v>287</v>
      </c>
      <c r="FB7" s="30" t="s">
        <v>288</v>
      </c>
      <c r="FC7" s="56"/>
      <c r="FD7" s="32">
        <v>45217</v>
      </c>
      <c r="FE7" s="30">
        <v>195</v>
      </c>
      <c r="FF7" s="30"/>
      <c r="FG7" s="30">
        <v>25</v>
      </c>
      <c r="FH7" s="30">
        <v>40</v>
      </c>
      <c r="FI7" s="30">
        <v>45</v>
      </c>
      <c r="FJ7" s="30">
        <v>45</v>
      </c>
      <c r="FK7" s="30">
        <v>50</v>
      </c>
      <c r="FL7" s="30">
        <v>50</v>
      </c>
      <c r="FM7" s="33">
        <v>43.75</v>
      </c>
      <c r="FN7" s="30">
        <v>60</v>
      </c>
      <c r="FO7" s="30">
        <v>55</v>
      </c>
      <c r="FP7" s="30">
        <v>60</v>
      </c>
      <c r="FQ7" s="30">
        <v>85</v>
      </c>
      <c r="FR7" s="30">
        <v>45</v>
      </c>
      <c r="FS7" s="30">
        <v>70</v>
      </c>
      <c r="FT7" s="30">
        <v>80</v>
      </c>
      <c r="FU7" s="30">
        <v>80</v>
      </c>
      <c r="FV7" s="30" t="s">
        <v>234</v>
      </c>
      <c r="FW7" s="30" t="s">
        <v>234</v>
      </c>
      <c r="FX7" s="30" t="s">
        <v>234</v>
      </c>
      <c r="FY7" s="30" t="s">
        <v>234</v>
      </c>
      <c r="FZ7" s="30" t="s">
        <v>234</v>
      </c>
      <c r="GA7" s="30" t="s">
        <v>234</v>
      </c>
      <c r="GB7" s="30" t="s">
        <v>234</v>
      </c>
      <c r="GC7" s="33">
        <v>68.75</v>
      </c>
      <c r="GD7" s="33">
        <v>70</v>
      </c>
      <c r="GE7" s="33">
        <v>58.333333333333336</v>
      </c>
      <c r="GF7" s="33">
        <v>65</v>
      </c>
      <c r="GG7" s="33">
        <v>76.666666666666671</v>
      </c>
      <c r="GH7" s="33">
        <v>65</v>
      </c>
      <c r="GI7" s="30">
        <v>6</v>
      </c>
      <c r="GJ7" s="33">
        <v>3</v>
      </c>
      <c r="GK7" s="30">
        <v>25</v>
      </c>
      <c r="GL7" s="30">
        <v>100</v>
      </c>
      <c r="GM7" s="30">
        <v>15</v>
      </c>
      <c r="GN7" s="30">
        <v>20</v>
      </c>
      <c r="GO7" s="30">
        <v>20</v>
      </c>
      <c r="GP7" s="30">
        <v>15</v>
      </c>
      <c r="GQ7" s="30">
        <v>40</v>
      </c>
      <c r="GR7" s="30">
        <v>40</v>
      </c>
      <c r="GS7" s="30">
        <v>18.75</v>
      </c>
      <c r="GT7" s="30">
        <v>35</v>
      </c>
      <c r="GU7" s="30">
        <v>25</v>
      </c>
      <c r="GV7" s="30">
        <v>20</v>
      </c>
      <c r="GW7" s="30">
        <v>20</v>
      </c>
      <c r="GX7" s="30">
        <v>15</v>
      </c>
      <c r="GY7" s="30">
        <v>40</v>
      </c>
      <c r="GZ7" s="30">
        <v>40</v>
      </c>
      <c r="HA7" s="30">
        <v>65</v>
      </c>
      <c r="HB7" s="30" t="s">
        <v>277</v>
      </c>
      <c r="HC7" s="30" t="s">
        <v>277</v>
      </c>
      <c r="HD7" s="30" t="s">
        <v>277</v>
      </c>
      <c r="HE7" s="30" t="s">
        <v>277</v>
      </c>
      <c r="HF7" s="30" t="s">
        <v>277</v>
      </c>
      <c r="HG7" s="30" t="s">
        <v>277</v>
      </c>
      <c r="HH7" s="30" t="s">
        <v>277</v>
      </c>
      <c r="HI7" s="30">
        <v>18.75</v>
      </c>
      <c r="HJ7" s="30">
        <v>32</v>
      </c>
      <c r="HK7" s="30">
        <v>26.666666666666668</v>
      </c>
      <c r="HL7" s="30">
        <v>17.5</v>
      </c>
      <c r="HM7" s="30">
        <v>48.333333333333336</v>
      </c>
      <c r="HN7" s="30">
        <v>23.75</v>
      </c>
      <c r="HO7" s="30" t="s">
        <v>235</v>
      </c>
      <c r="HP7" s="30">
        <v>1</v>
      </c>
      <c r="HQ7" s="30">
        <v>25</v>
      </c>
      <c r="HR7" s="30">
        <v>100</v>
      </c>
      <c r="HS7" s="30" t="s">
        <v>289</v>
      </c>
      <c r="HT7" s="30" t="s">
        <v>290</v>
      </c>
      <c r="HU7" s="30"/>
      <c r="HV7" s="32">
        <v>45303</v>
      </c>
      <c r="HW7" s="30">
        <v>281</v>
      </c>
      <c r="HX7" s="30"/>
      <c r="HY7" s="30">
        <v>20</v>
      </c>
      <c r="HZ7" s="30">
        <v>45</v>
      </c>
      <c r="IA7" s="30">
        <v>35</v>
      </c>
      <c r="IB7" s="30">
        <v>50</v>
      </c>
      <c r="IC7" s="30">
        <v>45</v>
      </c>
      <c r="ID7" s="30">
        <v>55</v>
      </c>
      <c r="IE7" s="30">
        <v>41.25</v>
      </c>
      <c r="IF7" s="30">
        <v>65</v>
      </c>
      <c r="IG7" s="30">
        <v>55</v>
      </c>
      <c r="IH7" s="30">
        <v>60</v>
      </c>
      <c r="II7" s="30">
        <v>70</v>
      </c>
      <c r="IJ7" s="30">
        <v>55</v>
      </c>
      <c r="IK7" s="30">
        <v>70</v>
      </c>
      <c r="IL7" s="30">
        <v>70</v>
      </c>
      <c r="IM7" s="30">
        <v>85</v>
      </c>
      <c r="IN7" s="30" t="s">
        <v>277</v>
      </c>
      <c r="IO7" s="30" t="s">
        <v>277</v>
      </c>
      <c r="IP7" s="30" t="s">
        <v>277</v>
      </c>
      <c r="IQ7" s="30" t="s">
        <v>277</v>
      </c>
      <c r="IR7" s="30" t="s">
        <v>277</v>
      </c>
      <c r="IS7" s="30" t="s">
        <v>277</v>
      </c>
      <c r="IT7" s="30" t="s">
        <v>277</v>
      </c>
      <c r="IU7" s="30">
        <v>63.75</v>
      </c>
      <c r="IV7" s="30">
        <v>68</v>
      </c>
      <c r="IW7" s="30">
        <v>60</v>
      </c>
      <c r="IX7" s="30">
        <v>62.5</v>
      </c>
      <c r="IY7" s="30">
        <v>75</v>
      </c>
      <c r="IZ7" s="30">
        <v>63.75</v>
      </c>
      <c r="JA7" s="30">
        <v>6</v>
      </c>
      <c r="JB7" s="30">
        <v>3</v>
      </c>
      <c r="JC7" s="30">
        <v>60</v>
      </c>
      <c r="JD7" s="30">
        <v>72</v>
      </c>
      <c r="JE7" s="30">
        <v>15</v>
      </c>
      <c r="JF7" s="30">
        <v>25</v>
      </c>
      <c r="JG7" s="30">
        <v>20</v>
      </c>
      <c r="JH7" s="30">
        <v>15</v>
      </c>
      <c r="JI7" s="30">
        <v>40</v>
      </c>
      <c r="JJ7" s="30">
        <v>45</v>
      </c>
      <c r="JK7" s="30">
        <v>20</v>
      </c>
      <c r="JL7" s="30">
        <v>25</v>
      </c>
      <c r="JM7" s="30">
        <v>20</v>
      </c>
      <c r="JN7" s="30">
        <v>25</v>
      </c>
      <c r="JO7" s="30">
        <v>20</v>
      </c>
      <c r="JP7" s="30">
        <v>15</v>
      </c>
      <c r="JQ7" s="30">
        <v>40</v>
      </c>
      <c r="JR7" s="30">
        <v>45</v>
      </c>
      <c r="JS7" s="30">
        <v>65</v>
      </c>
      <c r="JT7" s="30" t="s">
        <v>277</v>
      </c>
      <c r="JU7" s="30" t="s">
        <v>277</v>
      </c>
      <c r="JV7" s="30" t="s">
        <v>277</v>
      </c>
      <c r="JW7" s="30" t="s">
        <v>277</v>
      </c>
      <c r="JX7" s="30" t="s">
        <v>277</v>
      </c>
      <c r="JY7" s="30" t="s">
        <v>277</v>
      </c>
      <c r="JZ7" s="30" t="s">
        <v>277</v>
      </c>
      <c r="KA7" s="30">
        <v>20</v>
      </c>
      <c r="KB7" s="30">
        <v>34</v>
      </c>
      <c r="KC7" s="30">
        <v>23.333333333333332</v>
      </c>
      <c r="KD7" s="30">
        <v>17.5</v>
      </c>
      <c r="KE7" s="30">
        <v>50</v>
      </c>
      <c r="KF7" s="30">
        <v>25</v>
      </c>
      <c r="KG7" s="30">
        <v>6</v>
      </c>
      <c r="KH7" s="30">
        <v>1</v>
      </c>
      <c r="KI7" s="1">
        <v>25</v>
      </c>
      <c r="KJ7" s="1">
        <v>96</v>
      </c>
    </row>
    <row r="8" spans="1:299" s="1" customFormat="1" ht="99">
      <c r="A8" s="8" t="s">
        <v>598</v>
      </c>
      <c r="B8" s="1">
        <v>52</v>
      </c>
      <c r="C8" s="20">
        <v>50</v>
      </c>
      <c r="D8" s="1">
        <v>1</v>
      </c>
      <c r="E8" s="1" t="s">
        <v>590</v>
      </c>
      <c r="F8" s="1">
        <v>21119</v>
      </c>
      <c r="G8" s="12" t="s">
        <v>65</v>
      </c>
      <c r="H8" s="12" t="s">
        <v>66</v>
      </c>
      <c r="I8" s="12" t="s">
        <v>22</v>
      </c>
      <c r="J8" s="13">
        <v>44888</v>
      </c>
      <c r="K8" s="30" t="s">
        <v>661</v>
      </c>
      <c r="L8" s="30" t="s">
        <v>666</v>
      </c>
      <c r="M8" s="1" t="s">
        <v>114</v>
      </c>
      <c r="N8" s="14" t="s">
        <v>124</v>
      </c>
      <c r="T8" s="32">
        <v>44886</v>
      </c>
      <c r="U8" s="30">
        <v>-2</v>
      </c>
      <c r="V8" s="30"/>
      <c r="W8" s="30">
        <v>10</v>
      </c>
      <c r="X8" s="30">
        <v>10</v>
      </c>
      <c r="Y8" s="30">
        <v>5</v>
      </c>
      <c r="Z8" s="30">
        <v>10</v>
      </c>
      <c r="AA8" s="30">
        <v>15</v>
      </c>
      <c r="AB8" s="30">
        <v>20</v>
      </c>
      <c r="AC8" s="33">
        <v>7.5</v>
      </c>
      <c r="AD8" s="30">
        <v>15</v>
      </c>
      <c r="AE8" s="30">
        <v>10</v>
      </c>
      <c r="AF8" s="30">
        <v>10</v>
      </c>
      <c r="AG8" s="30">
        <v>5</v>
      </c>
      <c r="AH8" s="30">
        <v>10</v>
      </c>
      <c r="AI8" s="30">
        <v>15</v>
      </c>
      <c r="AJ8" s="30">
        <v>20</v>
      </c>
      <c r="AK8" s="30">
        <v>15</v>
      </c>
      <c r="AL8" s="31" t="s">
        <v>234</v>
      </c>
      <c r="AM8" s="31" t="s">
        <v>234</v>
      </c>
      <c r="AN8" s="31" t="s">
        <v>234</v>
      </c>
      <c r="AO8" s="31" t="s">
        <v>234</v>
      </c>
      <c r="AP8" s="31" t="s">
        <v>234</v>
      </c>
      <c r="AQ8" s="31" t="s">
        <v>234</v>
      </c>
      <c r="AR8" s="31" t="s">
        <v>234</v>
      </c>
      <c r="AS8" s="33">
        <v>7.5</v>
      </c>
      <c r="AT8" s="33">
        <v>12</v>
      </c>
      <c r="AU8" s="33">
        <v>11.666666666666666</v>
      </c>
      <c r="AV8" s="33">
        <v>7.5</v>
      </c>
      <c r="AW8" s="33">
        <v>16.666666666666668</v>
      </c>
      <c r="AX8" s="33">
        <v>10</v>
      </c>
      <c r="AY8" s="34">
        <v>4</v>
      </c>
      <c r="AZ8" s="33">
        <v>0</v>
      </c>
      <c r="BA8" s="30">
        <v>15</v>
      </c>
      <c r="BB8" s="30">
        <v>100</v>
      </c>
      <c r="BC8" s="30">
        <v>25</v>
      </c>
      <c r="BD8" s="30">
        <v>20</v>
      </c>
      <c r="BE8" s="30">
        <v>15</v>
      </c>
      <c r="BF8" s="30">
        <v>25</v>
      </c>
      <c r="BG8" s="30">
        <v>15</v>
      </c>
      <c r="BH8" s="30">
        <v>10</v>
      </c>
      <c r="BI8" s="33">
        <v>18.75</v>
      </c>
      <c r="BJ8" s="30">
        <v>65</v>
      </c>
      <c r="BK8" s="30">
        <v>65</v>
      </c>
      <c r="BL8" s="30">
        <v>65</v>
      </c>
      <c r="BM8" s="30">
        <v>70</v>
      </c>
      <c r="BN8" s="30">
        <v>55</v>
      </c>
      <c r="BO8" s="30">
        <v>65</v>
      </c>
      <c r="BP8" s="30">
        <v>70</v>
      </c>
      <c r="BQ8" s="30">
        <v>70</v>
      </c>
      <c r="BR8" s="31" t="s">
        <v>234</v>
      </c>
      <c r="BS8" s="31" t="s">
        <v>234</v>
      </c>
      <c r="BT8" s="31" t="s">
        <v>234</v>
      </c>
      <c r="BU8" s="31" t="s">
        <v>234</v>
      </c>
      <c r="BV8" s="31" t="s">
        <v>234</v>
      </c>
      <c r="BW8" s="31" t="s">
        <v>234</v>
      </c>
      <c r="BX8" s="31" t="s">
        <v>234</v>
      </c>
      <c r="BY8" s="33">
        <v>65</v>
      </c>
      <c r="BZ8" s="33">
        <v>66</v>
      </c>
      <c r="CA8" s="33">
        <v>65</v>
      </c>
      <c r="CB8" s="33">
        <v>62.5</v>
      </c>
      <c r="CC8" s="33">
        <v>68.333333333333329</v>
      </c>
      <c r="CD8" s="33">
        <v>63.75</v>
      </c>
      <c r="CE8" s="30">
        <v>4</v>
      </c>
      <c r="CF8" s="33">
        <v>3</v>
      </c>
      <c r="CG8" s="30">
        <v>65</v>
      </c>
      <c r="CH8" s="30">
        <v>96</v>
      </c>
      <c r="CI8" s="30" t="s">
        <v>291</v>
      </c>
      <c r="CJ8" s="31" t="s">
        <v>292</v>
      </c>
      <c r="CK8" s="30"/>
      <c r="CL8" s="32">
        <v>44972</v>
      </c>
      <c r="CM8" s="30">
        <v>84</v>
      </c>
      <c r="CN8" s="30"/>
      <c r="CO8" s="30">
        <v>10</v>
      </c>
      <c r="CP8" s="30">
        <v>10</v>
      </c>
      <c r="CQ8" s="30">
        <v>5</v>
      </c>
      <c r="CR8" s="30">
        <v>15</v>
      </c>
      <c r="CS8" s="30">
        <v>15</v>
      </c>
      <c r="CT8" s="30">
        <v>20</v>
      </c>
      <c r="CU8" s="33">
        <v>8.75</v>
      </c>
      <c r="CV8" s="30">
        <v>15</v>
      </c>
      <c r="CW8" s="30">
        <v>10</v>
      </c>
      <c r="CX8" s="30">
        <v>10</v>
      </c>
      <c r="CY8" s="30">
        <v>5</v>
      </c>
      <c r="CZ8" s="30">
        <v>15</v>
      </c>
      <c r="DA8" s="30">
        <v>15</v>
      </c>
      <c r="DB8" s="30">
        <v>20</v>
      </c>
      <c r="DC8" s="30">
        <v>15</v>
      </c>
      <c r="DD8" s="30" t="s">
        <v>277</v>
      </c>
      <c r="DE8" s="30" t="s">
        <v>277</v>
      </c>
      <c r="DF8" s="30" t="s">
        <v>277</v>
      </c>
      <c r="DG8" s="30" t="s">
        <v>277</v>
      </c>
      <c r="DH8" s="30" t="s">
        <v>277</v>
      </c>
      <c r="DI8" s="30" t="s">
        <v>277</v>
      </c>
      <c r="DJ8" s="30" t="s">
        <v>277</v>
      </c>
      <c r="DK8" s="33">
        <v>8.75</v>
      </c>
      <c r="DL8" s="33">
        <v>13</v>
      </c>
      <c r="DM8" s="33">
        <v>11.666666666666666</v>
      </c>
      <c r="DN8" s="33">
        <v>10</v>
      </c>
      <c r="DO8" s="33">
        <v>16.666666666666668</v>
      </c>
      <c r="DP8" s="33">
        <v>11.25</v>
      </c>
      <c r="DQ8" s="30">
        <v>4</v>
      </c>
      <c r="DR8" s="33">
        <v>0</v>
      </c>
      <c r="DS8" s="30">
        <v>15</v>
      </c>
      <c r="DT8" s="30">
        <v>100</v>
      </c>
      <c r="DU8" s="30">
        <v>5</v>
      </c>
      <c r="DV8" s="30">
        <v>20</v>
      </c>
      <c r="DW8" s="30">
        <v>10</v>
      </c>
      <c r="DX8" s="30">
        <v>30</v>
      </c>
      <c r="DY8" s="30">
        <v>20</v>
      </c>
      <c r="DZ8" s="30">
        <v>15</v>
      </c>
      <c r="EA8" s="33">
        <v>17.5</v>
      </c>
      <c r="EB8" s="30">
        <v>40</v>
      </c>
      <c r="EC8" s="30">
        <v>45</v>
      </c>
      <c r="ED8" s="30">
        <v>25</v>
      </c>
      <c r="EE8" s="30">
        <v>35</v>
      </c>
      <c r="EF8" s="30">
        <v>35</v>
      </c>
      <c r="EG8" s="30">
        <v>20</v>
      </c>
      <c r="EH8" s="30">
        <v>25</v>
      </c>
      <c r="EI8" s="30">
        <v>60</v>
      </c>
      <c r="EJ8" s="30" t="s">
        <v>277</v>
      </c>
      <c r="EK8" s="30" t="s">
        <v>277</v>
      </c>
      <c r="EL8" s="30" t="s">
        <v>277</v>
      </c>
      <c r="EM8" s="30" t="s">
        <v>277</v>
      </c>
      <c r="EN8" s="30" t="s">
        <v>277</v>
      </c>
      <c r="EO8" s="30" t="s">
        <v>277</v>
      </c>
      <c r="EP8" s="30" t="s">
        <v>277</v>
      </c>
      <c r="EQ8" s="33">
        <v>32.5</v>
      </c>
      <c r="ER8" s="33">
        <v>36</v>
      </c>
      <c r="ES8" s="33">
        <v>36.666666666666664</v>
      </c>
      <c r="ET8" s="33">
        <v>35</v>
      </c>
      <c r="EU8" s="33">
        <v>35</v>
      </c>
      <c r="EV8" s="33">
        <v>28.75</v>
      </c>
      <c r="EW8" s="30">
        <v>3</v>
      </c>
      <c r="EX8" s="33">
        <v>1</v>
      </c>
      <c r="EY8" s="30">
        <v>35</v>
      </c>
      <c r="EZ8" s="30">
        <v>100</v>
      </c>
      <c r="FA8" s="30" t="s">
        <v>293</v>
      </c>
      <c r="FB8" s="30" t="s">
        <v>294</v>
      </c>
      <c r="FC8" s="30"/>
      <c r="FD8" s="32">
        <v>45085</v>
      </c>
      <c r="FE8" s="30">
        <v>197</v>
      </c>
      <c r="FF8" s="30"/>
      <c r="FG8" s="30">
        <v>5</v>
      </c>
      <c r="FH8" s="30">
        <v>10</v>
      </c>
      <c r="FI8" s="30">
        <v>10</v>
      </c>
      <c r="FJ8" s="30">
        <v>20</v>
      </c>
      <c r="FK8" s="30">
        <v>20</v>
      </c>
      <c r="FL8" s="30">
        <v>20</v>
      </c>
      <c r="FM8" s="33">
        <v>12.5</v>
      </c>
      <c r="FN8" s="30">
        <v>10</v>
      </c>
      <c r="FO8" s="30">
        <v>10</v>
      </c>
      <c r="FP8" s="30">
        <v>10</v>
      </c>
      <c r="FQ8" s="30">
        <v>10</v>
      </c>
      <c r="FR8" s="30">
        <v>20</v>
      </c>
      <c r="FS8" s="30">
        <v>20</v>
      </c>
      <c r="FT8" s="30">
        <v>20</v>
      </c>
      <c r="FU8" s="30">
        <v>20</v>
      </c>
      <c r="FV8" s="30" t="s">
        <v>234</v>
      </c>
      <c r="FW8" s="30" t="s">
        <v>234</v>
      </c>
      <c r="FX8" s="30" t="s">
        <v>234</v>
      </c>
      <c r="FY8" s="30" t="s">
        <v>234</v>
      </c>
      <c r="FZ8" s="30" t="s">
        <v>234</v>
      </c>
      <c r="GA8" s="30" t="s">
        <v>234</v>
      </c>
      <c r="GB8" s="30" t="s">
        <v>234</v>
      </c>
      <c r="GC8" s="33">
        <v>12.5</v>
      </c>
      <c r="GD8" s="33">
        <v>16</v>
      </c>
      <c r="GE8" s="33">
        <v>10</v>
      </c>
      <c r="GF8" s="33">
        <v>15</v>
      </c>
      <c r="GG8" s="33">
        <v>20</v>
      </c>
      <c r="GH8" s="33">
        <v>15</v>
      </c>
      <c r="GI8" s="30">
        <v>4</v>
      </c>
      <c r="GJ8" s="33">
        <v>0</v>
      </c>
      <c r="GK8" s="30">
        <v>15</v>
      </c>
      <c r="GL8" s="30">
        <v>100</v>
      </c>
      <c r="GM8" s="30">
        <v>10</v>
      </c>
      <c r="GN8" s="30">
        <v>15</v>
      </c>
      <c r="GO8" s="30">
        <v>5</v>
      </c>
      <c r="GP8" s="30">
        <v>25</v>
      </c>
      <c r="GQ8" s="30">
        <v>15</v>
      </c>
      <c r="GR8" s="30">
        <v>10</v>
      </c>
      <c r="GS8" s="30">
        <v>12.5</v>
      </c>
      <c r="GT8" s="30">
        <v>35</v>
      </c>
      <c r="GU8" s="30">
        <v>40</v>
      </c>
      <c r="GV8" s="30">
        <v>25</v>
      </c>
      <c r="GW8" s="30">
        <v>35</v>
      </c>
      <c r="GX8" s="30">
        <v>25</v>
      </c>
      <c r="GY8" s="30">
        <v>30</v>
      </c>
      <c r="GZ8" s="30">
        <v>45</v>
      </c>
      <c r="HA8" s="30">
        <v>60</v>
      </c>
      <c r="HB8" s="30" t="s">
        <v>277</v>
      </c>
      <c r="HC8" s="30" t="s">
        <v>277</v>
      </c>
      <c r="HD8" s="30" t="s">
        <v>277</v>
      </c>
      <c r="HE8" s="30" t="s">
        <v>277</v>
      </c>
      <c r="HF8" s="30" t="s">
        <v>277</v>
      </c>
      <c r="HG8" s="30" t="s">
        <v>277</v>
      </c>
      <c r="HH8" s="30" t="s">
        <v>277</v>
      </c>
      <c r="HI8" s="30">
        <v>30</v>
      </c>
      <c r="HJ8" s="30">
        <v>38</v>
      </c>
      <c r="HK8" s="30">
        <v>33.333333333333336</v>
      </c>
      <c r="HL8" s="30">
        <v>30</v>
      </c>
      <c r="HM8" s="30">
        <v>45</v>
      </c>
      <c r="HN8" s="30">
        <v>28.75</v>
      </c>
      <c r="HO8" s="30" t="s">
        <v>235</v>
      </c>
      <c r="HP8" s="30">
        <v>1</v>
      </c>
      <c r="HQ8" s="30">
        <v>35</v>
      </c>
      <c r="HR8" s="30">
        <v>86</v>
      </c>
      <c r="HS8" s="30"/>
      <c r="HT8" s="30"/>
      <c r="HU8" s="30" t="s">
        <v>295</v>
      </c>
      <c r="HV8" s="32">
        <v>45273</v>
      </c>
      <c r="HW8" s="30">
        <v>385</v>
      </c>
      <c r="HX8" s="30"/>
      <c r="HY8" s="30">
        <v>10</v>
      </c>
      <c r="HZ8" s="30">
        <v>10</v>
      </c>
      <c r="IA8" s="30">
        <v>5</v>
      </c>
      <c r="IB8" s="30">
        <v>15</v>
      </c>
      <c r="IC8" s="30">
        <v>15</v>
      </c>
      <c r="ID8" s="30">
        <v>15</v>
      </c>
      <c r="IE8" s="30">
        <v>8.75</v>
      </c>
      <c r="IF8" s="30">
        <v>10</v>
      </c>
      <c r="IG8" s="30">
        <v>10</v>
      </c>
      <c r="IH8" s="30">
        <v>10</v>
      </c>
      <c r="II8" s="30">
        <v>5</v>
      </c>
      <c r="IJ8" s="30">
        <v>15</v>
      </c>
      <c r="IK8" s="30">
        <v>15</v>
      </c>
      <c r="IL8" s="30">
        <v>15</v>
      </c>
      <c r="IM8" s="30">
        <v>25</v>
      </c>
      <c r="IN8" s="30" t="s">
        <v>277</v>
      </c>
      <c r="IO8" s="30" t="s">
        <v>277</v>
      </c>
      <c r="IP8" s="30" t="s">
        <v>277</v>
      </c>
      <c r="IQ8" s="30" t="s">
        <v>277</v>
      </c>
      <c r="IR8" s="30" t="s">
        <v>277</v>
      </c>
      <c r="IS8" s="30" t="s">
        <v>277</v>
      </c>
      <c r="IT8" s="30" t="s">
        <v>277</v>
      </c>
      <c r="IU8" s="30">
        <v>8.75</v>
      </c>
      <c r="IV8" s="30">
        <v>14</v>
      </c>
      <c r="IW8" s="30">
        <v>10</v>
      </c>
      <c r="IX8" s="30">
        <v>10</v>
      </c>
      <c r="IY8" s="30">
        <v>18.333333333333332</v>
      </c>
      <c r="IZ8" s="30">
        <v>11.25</v>
      </c>
      <c r="JA8" s="30">
        <v>6</v>
      </c>
      <c r="JB8" s="30">
        <v>0</v>
      </c>
      <c r="JC8" s="30">
        <v>10</v>
      </c>
      <c r="JD8" s="30">
        <v>100</v>
      </c>
      <c r="JE8" s="30">
        <v>10</v>
      </c>
      <c r="JF8" s="30">
        <v>30</v>
      </c>
      <c r="JG8" s="30">
        <v>10</v>
      </c>
      <c r="JH8" s="30">
        <v>15</v>
      </c>
      <c r="JI8" s="30">
        <v>20</v>
      </c>
      <c r="JJ8" s="30">
        <v>20</v>
      </c>
      <c r="JK8" s="30">
        <v>16.25</v>
      </c>
      <c r="JL8" s="30">
        <v>25</v>
      </c>
      <c r="JM8" s="30">
        <v>35</v>
      </c>
      <c r="JN8" s="30">
        <v>30</v>
      </c>
      <c r="JO8" s="30">
        <v>30</v>
      </c>
      <c r="JP8" s="30">
        <v>15</v>
      </c>
      <c r="JQ8" s="30">
        <v>20</v>
      </c>
      <c r="JR8" s="30">
        <v>30</v>
      </c>
      <c r="JS8" s="30">
        <v>60</v>
      </c>
      <c r="JT8" s="30" t="s">
        <v>277</v>
      </c>
      <c r="JU8" s="30" t="s">
        <v>277</v>
      </c>
      <c r="JV8" s="30" t="s">
        <v>277</v>
      </c>
      <c r="JW8" s="30" t="s">
        <v>277</v>
      </c>
      <c r="JX8" s="30" t="s">
        <v>277</v>
      </c>
      <c r="JY8" s="30" t="s">
        <v>277</v>
      </c>
      <c r="JZ8" s="30" t="s">
        <v>277</v>
      </c>
      <c r="KA8" s="30">
        <v>26.25</v>
      </c>
      <c r="KB8" s="30">
        <v>33</v>
      </c>
      <c r="KC8" s="30">
        <v>30</v>
      </c>
      <c r="KD8" s="30">
        <v>22.5</v>
      </c>
      <c r="KE8" s="30">
        <v>36.666666666666664</v>
      </c>
      <c r="KF8" s="30">
        <v>23.75</v>
      </c>
      <c r="KG8" s="30">
        <v>6</v>
      </c>
      <c r="KH8" s="30">
        <v>1</v>
      </c>
      <c r="KI8" s="30">
        <v>25</v>
      </c>
      <c r="KJ8" s="30">
        <v>100</v>
      </c>
      <c r="KK8" s="30" t="s">
        <v>296</v>
      </c>
      <c r="KL8" s="30" t="s">
        <v>297</v>
      </c>
    </row>
    <row r="9" spans="1:299" s="1" customFormat="1">
      <c r="A9" s="8" t="s">
        <v>599</v>
      </c>
      <c r="B9" s="1">
        <v>51</v>
      </c>
      <c r="C9" s="20">
        <v>50</v>
      </c>
      <c r="D9" s="1">
        <v>2</v>
      </c>
      <c r="E9" s="1" t="s">
        <v>588</v>
      </c>
      <c r="F9" s="87">
        <v>21128</v>
      </c>
      <c r="G9" s="12" t="s">
        <v>48</v>
      </c>
      <c r="H9" s="12" t="s">
        <v>49</v>
      </c>
      <c r="I9" s="12" t="s">
        <v>22</v>
      </c>
      <c r="J9" s="13">
        <v>44973</v>
      </c>
      <c r="K9" s="30" t="s">
        <v>664</v>
      </c>
      <c r="L9" s="30" t="s">
        <v>667</v>
      </c>
      <c r="M9" s="1" t="s">
        <v>150</v>
      </c>
      <c r="N9" s="12" t="s">
        <v>114</v>
      </c>
      <c r="O9" s="1">
        <v>0</v>
      </c>
      <c r="P9" s="10">
        <v>44972</v>
      </c>
      <c r="R9" s="10">
        <v>45154</v>
      </c>
      <c r="T9" s="32">
        <v>44972</v>
      </c>
      <c r="U9" s="30">
        <v>-1</v>
      </c>
      <c r="V9" s="30" t="s">
        <v>571</v>
      </c>
      <c r="W9" s="30">
        <v>5</v>
      </c>
      <c r="X9" s="30">
        <v>25</v>
      </c>
      <c r="Y9" s="30">
        <v>20</v>
      </c>
      <c r="Z9" s="30">
        <v>25</v>
      </c>
      <c r="AA9" s="30">
        <v>25</v>
      </c>
      <c r="AB9" s="30">
        <v>20</v>
      </c>
      <c r="AC9" s="33">
        <v>22.5</v>
      </c>
      <c r="AD9" s="30">
        <v>45</v>
      </c>
      <c r="AE9" s="30">
        <v>40</v>
      </c>
      <c r="AF9" s="30">
        <v>60</v>
      </c>
      <c r="AG9" s="30">
        <v>65</v>
      </c>
      <c r="AH9" s="30">
        <v>40</v>
      </c>
      <c r="AI9" s="30">
        <v>55</v>
      </c>
      <c r="AJ9" s="30">
        <v>60</v>
      </c>
      <c r="AK9" s="30">
        <v>45</v>
      </c>
      <c r="AL9" s="31" t="s">
        <v>234</v>
      </c>
      <c r="AM9" s="31" t="s">
        <v>234</v>
      </c>
      <c r="AN9" s="31" t="s">
        <v>234</v>
      </c>
      <c r="AO9" s="31" t="s">
        <v>234</v>
      </c>
      <c r="AP9" s="31" t="s">
        <v>234</v>
      </c>
      <c r="AQ9" s="31" t="s">
        <v>234</v>
      </c>
      <c r="AR9" s="31" t="s">
        <v>234</v>
      </c>
      <c r="AS9" s="33">
        <v>57.5</v>
      </c>
      <c r="AT9" s="33">
        <v>54</v>
      </c>
      <c r="AU9" s="33">
        <v>48.333333333333336</v>
      </c>
      <c r="AV9" s="33">
        <v>52.5</v>
      </c>
      <c r="AW9" s="33">
        <v>53.333333333333336</v>
      </c>
      <c r="AX9" s="33">
        <v>55</v>
      </c>
      <c r="AY9" s="34">
        <v>2</v>
      </c>
      <c r="AZ9" s="33">
        <v>2</v>
      </c>
      <c r="BA9" s="30">
        <v>55</v>
      </c>
      <c r="BB9" s="30">
        <v>100</v>
      </c>
      <c r="BC9" s="30">
        <v>0</v>
      </c>
      <c r="BD9" s="30">
        <v>5</v>
      </c>
      <c r="BE9" s="30">
        <v>5</v>
      </c>
      <c r="BF9" s="30">
        <v>10</v>
      </c>
      <c r="BG9" s="30">
        <v>5</v>
      </c>
      <c r="BH9" s="30">
        <v>10</v>
      </c>
      <c r="BI9" s="33">
        <v>6.25</v>
      </c>
      <c r="BJ9" s="30">
        <v>5</v>
      </c>
      <c r="BK9" s="30">
        <v>0</v>
      </c>
      <c r="BL9" s="30">
        <v>5</v>
      </c>
      <c r="BM9" s="30">
        <v>5</v>
      </c>
      <c r="BN9" s="30">
        <v>10</v>
      </c>
      <c r="BO9" s="30">
        <v>5</v>
      </c>
      <c r="BP9" s="30">
        <v>10</v>
      </c>
      <c r="BQ9" s="30">
        <v>5</v>
      </c>
      <c r="BR9" s="31" t="s">
        <v>234</v>
      </c>
      <c r="BS9" s="31" t="s">
        <v>234</v>
      </c>
      <c r="BT9" s="31" t="s">
        <v>234</v>
      </c>
      <c r="BU9" s="31" t="s">
        <v>234</v>
      </c>
      <c r="BV9" s="31" t="s">
        <v>234</v>
      </c>
      <c r="BW9" s="31" t="s">
        <v>234</v>
      </c>
      <c r="BX9" s="31" t="s">
        <v>234</v>
      </c>
      <c r="BY9" s="33">
        <v>6.25</v>
      </c>
      <c r="BZ9" s="33">
        <v>7</v>
      </c>
      <c r="CA9" s="33">
        <v>3.3333333333333335</v>
      </c>
      <c r="CB9" s="33">
        <v>7.5</v>
      </c>
      <c r="CC9" s="33">
        <v>6.666666666666667</v>
      </c>
      <c r="CD9" s="33">
        <v>6.25</v>
      </c>
      <c r="CE9" s="30">
        <v>4</v>
      </c>
      <c r="CF9" s="33">
        <v>0</v>
      </c>
      <c r="CG9" s="30">
        <v>10</v>
      </c>
      <c r="CH9" s="30">
        <v>100</v>
      </c>
      <c r="CI9" s="31" t="s">
        <v>298</v>
      </c>
      <c r="CJ9" s="31" t="s">
        <v>299</v>
      </c>
      <c r="CK9" s="30"/>
      <c r="CL9" s="32">
        <v>45070</v>
      </c>
      <c r="CM9" s="30">
        <v>97</v>
      </c>
      <c r="CN9" s="30"/>
      <c r="CO9" s="30">
        <v>0</v>
      </c>
      <c r="CP9" s="30">
        <v>20</v>
      </c>
      <c r="CQ9" s="30">
        <v>15</v>
      </c>
      <c r="CR9" s="30">
        <v>25</v>
      </c>
      <c r="CS9" s="30">
        <v>25</v>
      </c>
      <c r="CT9" s="30">
        <v>10</v>
      </c>
      <c r="CU9" s="33">
        <v>18.75</v>
      </c>
      <c r="CV9" s="30">
        <v>40</v>
      </c>
      <c r="CW9" s="30">
        <v>40</v>
      </c>
      <c r="CX9" s="30">
        <v>45</v>
      </c>
      <c r="CY9" s="30">
        <v>55</v>
      </c>
      <c r="CZ9" s="30">
        <v>45</v>
      </c>
      <c r="DA9" s="30">
        <v>40</v>
      </c>
      <c r="DB9" s="30">
        <v>45</v>
      </c>
      <c r="DC9" s="30">
        <v>30</v>
      </c>
      <c r="DD9" s="30" t="s">
        <v>277</v>
      </c>
      <c r="DE9" s="30" t="s">
        <v>277</v>
      </c>
      <c r="DF9" s="30" t="s">
        <v>277</v>
      </c>
      <c r="DG9" s="30" t="s">
        <v>277</v>
      </c>
      <c r="DH9" s="30" t="s">
        <v>277</v>
      </c>
      <c r="DI9" s="30" t="s">
        <v>277</v>
      </c>
      <c r="DJ9" s="30" t="s">
        <v>277</v>
      </c>
      <c r="DK9" s="33">
        <v>50</v>
      </c>
      <c r="DL9" s="33">
        <v>44</v>
      </c>
      <c r="DM9" s="33">
        <v>41.666666666666664</v>
      </c>
      <c r="DN9" s="33">
        <v>50</v>
      </c>
      <c r="DO9" s="33">
        <v>38.333333333333336</v>
      </c>
      <c r="DP9" s="33">
        <v>46.25</v>
      </c>
      <c r="DQ9" s="30">
        <v>6</v>
      </c>
      <c r="DR9" s="33">
        <v>2</v>
      </c>
      <c r="DS9" s="30">
        <v>50</v>
      </c>
      <c r="DT9" s="30">
        <v>100</v>
      </c>
      <c r="DU9" s="30">
        <v>10</v>
      </c>
      <c r="DV9" s="30">
        <v>0</v>
      </c>
      <c r="DW9" s="30">
        <v>5</v>
      </c>
      <c r="DX9" s="30">
        <v>10</v>
      </c>
      <c r="DY9" s="30">
        <v>5</v>
      </c>
      <c r="DZ9" s="30">
        <v>10</v>
      </c>
      <c r="EA9" s="33">
        <v>5</v>
      </c>
      <c r="EB9" s="30">
        <v>15</v>
      </c>
      <c r="EC9" s="30">
        <v>10</v>
      </c>
      <c r="ED9" s="30">
        <v>0</v>
      </c>
      <c r="EE9" s="30">
        <v>15</v>
      </c>
      <c r="EF9" s="30">
        <v>10</v>
      </c>
      <c r="EG9" s="30">
        <v>5</v>
      </c>
      <c r="EH9" s="30">
        <v>10</v>
      </c>
      <c r="EI9" s="30">
        <v>0</v>
      </c>
      <c r="EJ9" s="30" t="s">
        <v>277</v>
      </c>
      <c r="EK9" s="30" t="s">
        <v>277</v>
      </c>
      <c r="EL9" s="30" t="s">
        <v>277</v>
      </c>
      <c r="EM9" s="30" t="s">
        <v>277</v>
      </c>
      <c r="EN9" s="30" t="s">
        <v>277</v>
      </c>
      <c r="EO9" s="30" t="s">
        <v>277</v>
      </c>
      <c r="EP9" s="30" t="s">
        <v>277</v>
      </c>
      <c r="EQ9" s="33">
        <v>10</v>
      </c>
      <c r="ER9" s="33">
        <v>7</v>
      </c>
      <c r="ES9" s="33">
        <v>8.3333333333333339</v>
      </c>
      <c r="ET9" s="33">
        <v>12.5</v>
      </c>
      <c r="EU9" s="33">
        <v>5</v>
      </c>
      <c r="EV9" s="33">
        <v>7.5</v>
      </c>
      <c r="EW9" s="30">
        <v>4</v>
      </c>
      <c r="EX9" s="33">
        <v>0</v>
      </c>
      <c r="EY9" s="30">
        <v>15</v>
      </c>
      <c r="EZ9" s="30">
        <v>100</v>
      </c>
      <c r="FA9" s="30" t="s">
        <v>300</v>
      </c>
      <c r="FB9" s="30" t="s">
        <v>301</v>
      </c>
      <c r="FC9" s="30"/>
      <c r="FD9" s="32">
        <v>45154</v>
      </c>
      <c r="FE9" s="30">
        <v>181</v>
      </c>
      <c r="FF9" s="30"/>
      <c r="FG9" s="30">
        <v>0</v>
      </c>
      <c r="FH9" s="30">
        <v>20</v>
      </c>
      <c r="FI9" s="30">
        <v>20</v>
      </c>
      <c r="FJ9" s="30">
        <v>30</v>
      </c>
      <c r="FK9" s="30">
        <v>25</v>
      </c>
      <c r="FL9" s="30">
        <v>10</v>
      </c>
      <c r="FM9" s="33">
        <v>22.5</v>
      </c>
      <c r="FN9" s="30">
        <v>35</v>
      </c>
      <c r="FO9" s="30">
        <v>35</v>
      </c>
      <c r="FP9" s="30">
        <v>50</v>
      </c>
      <c r="FQ9" s="30">
        <v>45</v>
      </c>
      <c r="FR9" s="30">
        <v>40</v>
      </c>
      <c r="FS9" s="30">
        <v>40</v>
      </c>
      <c r="FT9" s="30">
        <v>45</v>
      </c>
      <c r="FU9" s="30">
        <v>30</v>
      </c>
      <c r="FV9" s="30" t="s">
        <v>234</v>
      </c>
      <c r="FW9" s="30" t="s">
        <v>234</v>
      </c>
      <c r="FX9" s="30" t="s">
        <v>234</v>
      </c>
      <c r="FY9" s="30" t="s">
        <v>234</v>
      </c>
      <c r="FZ9" s="30" t="s">
        <v>234</v>
      </c>
      <c r="GA9" s="30" t="s">
        <v>234</v>
      </c>
      <c r="GB9" s="30" t="s">
        <v>234</v>
      </c>
      <c r="GC9" s="33">
        <v>45</v>
      </c>
      <c r="GD9" s="33">
        <v>42</v>
      </c>
      <c r="GE9" s="33">
        <v>40</v>
      </c>
      <c r="GF9" s="33">
        <v>42.5</v>
      </c>
      <c r="GG9" s="33">
        <v>38.333333333333336</v>
      </c>
      <c r="GH9" s="33">
        <v>43.75</v>
      </c>
      <c r="GI9" s="30">
        <v>6</v>
      </c>
      <c r="GJ9" s="33">
        <v>2</v>
      </c>
      <c r="GK9" s="30">
        <v>40</v>
      </c>
      <c r="GL9" s="30">
        <v>100</v>
      </c>
      <c r="GM9" s="30" t="s">
        <v>277</v>
      </c>
      <c r="GN9" s="30" t="s">
        <v>277</v>
      </c>
      <c r="GO9" s="30" t="s">
        <v>277</v>
      </c>
      <c r="GP9" s="30" t="s">
        <v>277</v>
      </c>
      <c r="GQ9" s="30" t="s">
        <v>277</v>
      </c>
      <c r="GR9" s="30" t="s">
        <v>277</v>
      </c>
      <c r="GS9" s="30" t="e">
        <v>#VALUE!</v>
      </c>
      <c r="GT9" s="30">
        <v>15</v>
      </c>
      <c r="GU9" s="30">
        <v>10</v>
      </c>
      <c r="GV9" s="30">
        <v>0</v>
      </c>
      <c r="GW9" s="30">
        <v>5</v>
      </c>
      <c r="GX9" s="30">
        <v>5</v>
      </c>
      <c r="GY9" s="30">
        <v>5</v>
      </c>
      <c r="GZ9" s="30">
        <v>15</v>
      </c>
      <c r="HA9" s="30">
        <v>0</v>
      </c>
      <c r="HB9" s="30" t="s">
        <v>277</v>
      </c>
      <c r="HC9" s="30" t="s">
        <v>277</v>
      </c>
      <c r="HD9" s="30" t="s">
        <v>277</v>
      </c>
      <c r="HE9" s="30" t="s">
        <v>277</v>
      </c>
      <c r="HF9" s="30" t="s">
        <v>277</v>
      </c>
      <c r="HG9" s="30" t="s">
        <v>277</v>
      </c>
      <c r="HH9" s="30" t="s">
        <v>277</v>
      </c>
      <c r="HI9" s="30">
        <v>3.75</v>
      </c>
      <c r="HJ9" s="30">
        <v>5</v>
      </c>
      <c r="HK9" s="30">
        <v>8.3333333333333339</v>
      </c>
      <c r="HL9" s="30">
        <v>5</v>
      </c>
      <c r="HM9" s="30">
        <v>6.666666666666667</v>
      </c>
      <c r="HN9" s="30">
        <v>3.75</v>
      </c>
      <c r="HO9" s="30">
        <v>4</v>
      </c>
      <c r="HP9" s="30">
        <v>0</v>
      </c>
      <c r="HQ9" s="30">
        <v>10</v>
      </c>
      <c r="HR9" s="30">
        <v>100</v>
      </c>
      <c r="HS9" s="30" t="s">
        <v>302</v>
      </c>
      <c r="HT9" s="30" t="s">
        <v>303</v>
      </c>
      <c r="HU9" s="30"/>
      <c r="HV9" s="32">
        <v>45726</v>
      </c>
      <c r="HW9" s="30">
        <v>753</v>
      </c>
      <c r="HX9" s="30"/>
      <c r="HY9" s="30">
        <v>0</v>
      </c>
      <c r="HZ9" s="30">
        <v>10</v>
      </c>
      <c r="IA9" s="30">
        <v>0</v>
      </c>
      <c r="IB9" s="30">
        <v>10</v>
      </c>
      <c r="IC9" s="30">
        <v>0</v>
      </c>
      <c r="ID9" s="30">
        <v>10</v>
      </c>
      <c r="IE9" s="30">
        <v>5</v>
      </c>
      <c r="IF9" s="30">
        <v>50</v>
      </c>
      <c r="IG9" s="30">
        <v>50</v>
      </c>
      <c r="IH9" s="30">
        <v>45</v>
      </c>
      <c r="II9" s="30">
        <v>45</v>
      </c>
      <c r="IJ9" s="30">
        <v>25</v>
      </c>
      <c r="IK9" s="30">
        <v>40</v>
      </c>
      <c r="IL9" s="30">
        <v>40</v>
      </c>
      <c r="IM9" s="30">
        <v>20</v>
      </c>
      <c r="IN9" s="30" t="s">
        <v>277</v>
      </c>
      <c r="IO9" s="30" t="s">
        <v>277</v>
      </c>
      <c r="IP9" s="30" t="s">
        <v>277</v>
      </c>
      <c r="IQ9" s="30" t="s">
        <v>277</v>
      </c>
      <c r="IR9" s="30" t="s">
        <v>277</v>
      </c>
      <c r="IS9" s="30" t="s">
        <v>277</v>
      </c>
      <c r="IT9" s="30" t="s">
        <v>277</v>
      </c>
      <c r="IU9" s="30">
        <v>40</v>
      </c>
      <c r="IV9" s="30">
        <v>35</v>
      </c>
      <c r="IW9" s="30">
        <v>48.333333333333336</v>
      </c>
      <c r="IX9" s="30">
        <v>35</v>
      </c>
      <c r="IY9" s="30">
        <v>33.333333333333336</v>
      </c>
      <c r="IZ9" s="30">
        <v>38.75</v>
      </c>
      <c r="JA9" s="30">
        <v>6</v>
      </c>
      <c r="JB9" s="30">
        <v>1</v>
      </c>
      <c r="JC9" s="30">
        <v>35</v>
      </c>
      <c r="JD9" s="30">
        <v>100</v>
      </c>
      <c r="JE9" s="30">
        <v>15</v>
      </c>
      <c r="JF9" s="30">
        <v>5</v>
      </c>
      <c r="JG9" s="30">
        <v>0</v>
      </c>
      <c r="JH9" s="30">
        <v>5</v>
      </c>
      <c r="JI9" s="30">
        <v>5</v>
      </c>
      <c r="JJ9" s="30">
        <v>15</v>
      </c>
      <c r="JK9" s="30">
        <v>2.5</v>
      </c>
      <c r="JL9" s="30">
        <v>15</v>
      </c>
      <c r="JM9" s="30">
        <v>15</v>
      </c>
      <c r="JN9" s="30">
        <v>5</v>
      </c>
      <c r="JO9" s="30">
        <v>0</v>
      </c>
      <c r="JP9" s="30">
        <v>5</v>
      </c>
      <c r="JQ9" s="30">
        <v>5</v>
      </c>
      <c r="JR9" s="30">
        <v>15</v>
      </c>
      <c r="JS9" s="30">
        <v>0</v>
      </c>
      <c r="JT9" s="30" t="s">
        <v>277</v>
      </c>
      <c r="JU9" s="30" t="s">
        <v>277</v>
      </c>
      <c r="JV9" s="30" t="s">
        <v>277</v>
      </c>
      <c r="JW9" s="30" t="s">
        <v>277</v>
      </c>
      <c r="JX9" s="30" t="s">
        <v>277</v>
      </c>
      <c r="JY9" s="30" t="s">
        <v>277</v>
      </c>
      <c r="JZ9" s="30" t="s">
        <v>277</v>
      </c>
      <c r="KA9" s="30">
        <v>2.5</v>
      </c>
      <c r="KB9" s="30">
        <v>5</v>
      </c>
      <c r="KC9" s="30">
        <v>11.666666666666666</v>
      </c>
      <c r="KD9" s="30">
        <v>2.5</v>
      </c>
      <c r="KE9" s="30">
        <v>6.666666666666667</v>
      </c>
      <c r="KF9" s="30">
        <v>3.75</v>
      </c>
      <c r="KG9" s="30">
        <v>4</v>
      </c>
      <c r="KH9" s="30">
        <v>0</v>
      </c>
      <c r="KI9" s="1">
        <v>10</v>
      </c>
      <c r="KJ9" s="1">
        <v>100</v>
      </c>
    </row>
    <row r="10" spans="1:299" s="1" customFormat="1" ht="49.5">
      <c r="A10" s="8" t="s">
        <v>600</v>
      </c>
      <c r="B10" s="1">
        <v>68</v>
      </c>
      <c r="C10" s="20">
        <v>60</v>
      </c>
      <c r="D10" s="1">
        <v>1</v>
      </c>
      <c r="E10" s="1" t="s">
        <v>590</v>
      </c>
      <c r="F10" s="1">
        <v>21129</v>
      </c>
      <c r="G10" s="12" t="s">
        <v>108</v>
      </c>
      <c r="H10" s="12" t="s">
        <v>109</v>
      </c>
      <c r="I10" s="12" t="s">
        <v>22</v>
      </c>
      <c r="J10" s="10">
        <v>44665</v>
      </c>
      <c r="K10" s="30" t="s">
        <v>668</v>
      </c>
      <c r="L10" s="30" t="s">
        <v>669</v>
      </c>
      <c r="M10" s="12" t="s">
        <v>114</v>
      </c>
      <c r="N10" s="14" t="s">
        <v>113</v>
      </c>
      <c r="T10" s="32">
        <v>44663</v>
      </c>
      <c r="U10" s="30">
        <v>-2</v>
      </c>
      <c r="V10" s="30"/>
      <c r="W10" s="30">
        <v>10</v>
      </c>
      <c r="X10" s="30">
        <v>5</v>
      </c>
      <c r="Y10" s="30">
        <v>5</v>
      </c>
      <c r="Z10" s="30">
        <v>0</v>
      </c>
      <c r="AA10" s="30">
        <v>25</v>
      </c>
      <c r="AB10" s="30">
        <v>55</v>
      </c>
      <c r="AC10" s="33">
        <v>3.75</v>
      </c>
      <c r="AD10" s="30">
        <v>5</v>
      </c>
      <c r="AE10" s="30">
        <v>10</v>
      </c>
      <c r="AF10" s="30">
        <v>5</v>
      </c>
      <c r="AG10" s="30">
        <v>5</v>
      </c>
      <c r="AH10" s="30">
        <v>0</v>
      </c>
      <c r="AI10" s="30">
        <v>25</v>
      </c>
      <c r="AJ10" s="30">
        <v>65</v>
      </c>
      <c r="AK10" s="30">
        <v>55</v>
      </c>
      <c r="AL10" s="31" t="s">
        <v>234</v>
      </c>
      <c r="AM10" s="31" t="s">
        <v>234</v>
      </c>
      <c r="AN10" s="31" t="s">
        <v>234</v>
      </c>
      <c r="AO10" s="31" t="s">
        <v>234</v>
      </c>
      <c r="AP10" s="31" t="s">
        <v>234</v>
      </c>
      <c r="AQ10" s="31" t="s">
        <v>234</v>
      </c>
      <c r="AR10" s="31" t="s">
        <v>234</v>
      </c>
      <c r="AS10" s="33">
        <v>3.75</v>
      </c>
      <c r="AT10" s="33">
        <v>26</v>
      </c>
      <c r="AU10" s="33">
        <v>6.666666666666667</v>
      </c>
      <c r="AV10" s="33">
        <v>2.5</v>
      </c>
      <c r="AW10" s="33">
        <v>48.333333333333336</v>
      </c>
      <c r="AX10" s="33">
        <v>8.75</v>
      </c>
      <c r="AY10" s="34">
        <v>3</v>
      </c>
      <c r="AZ10" s="33">
        <v>0</v>
      </c>
      <c r="BA10" s="30">
        <v>15</v>
      </c>
      <c r="BB10" s="30">
        <v>100</v>
      </c>
      <c r="BC10" s="30">
        <v>20</v>
      </c>
      <c r="BD10" s="30">
        <v>25</v>
      </c>
      <c r="BE10" s="30">
        <v>25</v>
      </c>
      <c r="BF10" s="30">
        <v>40</v>
      </c>
      <c r="BG10" s="30">
        <v>30</v>
      </c>
      <c r="BH10" s="30">
        <v>35</v>
      </c>
      <c r="BI10" s="33">
        <v>28.75</v>
      </c>
      <c r="BJ10" s="30">
        <v>70</v>
      </c>
      <c r="BK10" s="30">
        <v>75</v>
      </c>
      <c r="BL10" s="30">
        <v>60</v>
      </c>
      <c r="BM10" s="30">
        <v>70</v>
      </c>
      <c r="BN10" s="30">
        <v>55</v>
      </c>
      <c r="BO10" s="30">
        <v>55</v>
      </c>
      <c r="BP10" s="30">
        <v>75</v>
      </c>
      <c r="BQ10" s="30">
        <v>105</v>
      </c>
      <c r="BR10" s="31" t="s">
        <v>234</v>
      </c>
      <c r="BS10" s="31" t="s">
        <v>234</v>
      </c>
      <c r="BT10" s="31" t="s">
        <v>234</v>
      </c>
      <c r="BU10" s="31" t="s">
        <v>234</v>
      </c>
      <c r="BV10" s="31" t="s">
        <v>234</v>
      </c>
      <c r="BW10" s="31" t="s">
        <v>234</v>
      </c>
      <c r="BX10" s="31" t="s">
        <v>234</v>
      </c>
      <c r="BY10" s="33">
        <v>63.75</v>
      </c>
      <c r="BZ10" s="33">
        <v>73</v>
      </c>
      <c r="CA10" s="33">
        <v>68.333333333333329</v>
      </c>
      <c r="CB10" s="33">
        <v>62.5</v>
      </c>
      <c r="CC10" s="33">
        <v>78.333333333333329</v>
      </c>
      <c r="CD10" s="33">
        <v>60</v>
      </c>
      <c r="CE10" s="30">
        <v>3</v>
      </c>
      <c r="CF10" s="33">
        <v>2</v>
      </c>
      <c r="CG10" s="30">
        <v>70</v>
      </c>
      <c r="CH10" s="30">
        <v>100</v>
      </c>
      <c r="CI10" s="31" t="s">
        <v>304</v>
      </c>
      <c r="CJ10" s="31" t="s">
        <v>305</v>
      </c>
      <c r="CK10" s="30"/>
      <c r="CL10" s="32">
        <v>44767</v>
      </c>
      <c r="CM10" s="30">
        <v>102</v>
      </c>
      <c r="CN10" s="30"/>
      <c r="CO10" s="30">
        <v>10</v>
      </c>
      <c r="CP10" s="30">
        <v>10</v>
      </c>
      <c r="CQ10" s="30">
        <v>10</v>
      </c>
      <c r="CR10" s="30">
        <v>5</v>
      </c>
      <c r="CS10" s="30">
        <v>25</v>
      </c>
      <c r="CT10" s="30">
        <v>55</v>
      </c>
      <c r="CU10" s="33">
        <v>8.75</v>
      </c>
      <c r="CV10" s="30">
        <v>5</v>
      </c>
      <c r="CW10" s="30">
        <v>10</v>
      </c>
      <c r="CX10" s="30">
        <v>10</v>
      </c>
      <c r="CY10" s="30">
        <v>10</v>
      </c>
      <c r="CZ10" s="30">
        <v>5</v>
      </c>
      <c r="DA10" s="30">
        <v>25</v>
      </c>
      <c r="DB10" s="30">
        <v>65</v>
      </c>
      <c r="DC10" s="30">
        <v>55</v>
      </c>
      <c r="DD10" s="30"/>
      <c r="DE10" s="30"/>
      <c r="DF10" s="30"/>
      <c r="DG10" s="30"/>
      <c r="DH10" s="30"/>
      <c r="DI10" s="30"/>
      <c r="DJ10" s="30"/>
      <c r="DK10" s="33">
        <v>8.75</v>
      </c>
      <c r="DL10" s="33">
        <v>29</v>
      </c>
      <c r="DM10" s="33">
        <v>8.3333333333333339</v>
      </c>
      <c r="DN10" s="33">
        <v>7.5</v>
      </c>
      <c r="DO10" s="33">
        <v>48.333333333333336</v>
      </c>
      <c r="DP10" s="33">
        <v>12.5</v>
      </c>
      <c r="DQ10" s="30">
        <v>3</v>
      </c>
      <c r="DR10" s="33">
        <v>0</v>
      </c>
      <c r="DS10" s="30">
        <v>20</v>
      </c>
      <c r="DT10" s="30">
        <v>100</v>
      </c>
      <c r="DU10" s="30">
        <v>5</v>
      </c>
      <c r="DV10" s="30">
        <v>20</v>
      </c>
      <c r="DW10" s="30">
        <v>25</v>
      </c>
      <c r="DX10" s="30">
        <v>35</v>
      </c>
      <c r="DY10" s="30">
        <v>30</v>
      </c>
      <c r="DZ10" s="30">
        <v>45</v>
      </c>
      <c r="EA10" s="33">
        <v>26.25</v>
      </c>
      <c r="EB10" s="30">
        <v>65</v>
      </c>
      <c r="EC10" s="30">
        <v>60</v>
      </c>
      <c r="ED10" s="30">
        <v>70</v>
      </c>
      <c r="EE10" s="30">
        <v>75</v>
      </c>
      <c r="EF10" s="30">
        <v>50</v>
      </c>
      <c r="EG10" s="30">
        <v>55</v>
      </c>
      <c r="EH10" s="30">
        <v>70</v>
      </c>
      <c r="EI10" s="30">
        <v>100</v>
      </c>
      <c r="EJ10" s="30" t="s">
        <v>277</v>
      </c>
      <c r="EK10" s="30" t="s">
        <v>277</v>
      </c>
      <c r="EL10" s="30" t="s">
        <v>277</v>
      </c>
      <c r="EM10" s="30" t="s">
        <v>277</v>
      </c>
      <c r="EN10" s="30" t="s">
        <v>277</v>
      </c>
      <c r="EO10" s="30" t="s">
        <v>277</v>
      </c>
      <c r="EP10" s="30" t="s">
        <v>277</v>
      </c>
      <c r="EQ10" s="33">
        <v>67.5</v>
      </c>
      <c r="ER10" s="33">
        <v>73</v>
      </c>
      <c r="ES10" s="33">
        <v>65</v>
      </c>
      <c r="ET10" s="33">
        <v>62.5</v>
      </c>
      <c r="EU10" s="33">
        <v>75</v>
      </c>
      <c r="EV10" s="33">
        <v>62.5</v>
      </c>
      <c r="EW10" s="30">
        <v>3</v>
      </c>
      <c r="EX10" s="33">
        <v>3</v>
      </c>
      <c r="EY10" s="30">
        <v>75</v>
      </c>
      <c r="EZ10" s="30">
        <v>96</v>
      </c>
      <c r="FA10" s="30" t="s">
        <v>306</v>
      </c>
      <c r="FB10" s="30" t="s">
        <v>307</v>
      </c>
      <c r="FC10" s="30"/>
      <c r="FD10" s="32">
        <v>44867</v>
      </c>
      <c r="FE10" s="30">
        <v>202</v>
      </c>
      <c r="FF10" s="30"/>
      <c r="FG10" s="30">
        <v>5</v>
      </c>
      <c r="FH10" s="30">
        <v>10</v>
      </c>
      <c r="FI10" s="30">
        <v>5</v>
      </c>
      <c r="FJ10" s="30">
        <v>5</v>
      </c>
      <c r="FK10" s="30">
        <v>25</v>
      </c>
      <c r="FL10" s="30">
        <v>55</v>
      </c>
      <c r="FM10" s="33">
        <v>6.25</v>
      </c>
      <c r="FN10" s="30">
        <v>5</v>
      </c>
      <c r="FO10" s="30">
        <v>5</v>
      </c>
      <c r="FP10" s="30">
        <v>10</v>
      </c>
      <c r="FQ10" s="30">
        <v>5</v>
      </c>
      <c r="FR10" s="30">
        <v>5</v>
      </c>
      <c r="FS10" s="30">
        <v>25</v>
      </c>
      <c r="FT10" s="30">
        <v>70</v>
      </c>
      <c r="FU10" s="30">
        <v>55</v>
      </c>
      <c r="FV10" s="30"/>
      <c r="FW10" s="30"/>
      <c r="FX10" s="30"/>
      <c r="FY10" s="30"/>
      <c r="FZ10" s="30"/>
      <c r="GA10" s="30"/>
      <c r="GB10" s="30"/>
      <c r="GC10" s="33">
        <v>6.25</v>
      </c>
      <c r="GD10" s="33">
        <v>29</v>
      </c>
      <c r="GE10" s="33">
        <v>6.666666666666667</v>
      </c>
      <c r="GF10" s="33">
        <v>5</v>
      </c>
      <c r="GG10" s="33">
        <v>50</v>
      </c>
      <c r="GH10" s="33">
        <v>11.25</v>
      </c>
      <c r="GI10" s="30">
        <v>3</v>
      </c>
      <c r="GJ10" s="33">
        <v>0</v>
      </c>
      <c r="GK10" s="30">
        <v>20</v>
      </c>
      <c r="GL10" s="30">
        <v>100</v>
      </c>
      <c r="GM10" s="30">
        <v>15</v>
      </c>
      <c r="GN10" s="30">
        <v>20</v>
      </c>
      <c r="GO10" s="30">
        <v>20</v>
      </c>
      <c r="GP10" s="30">
        <v>35</v>
      </c>
      <c r="GQ10" s="30">
        <v>25</v>
      </c>
      <c r="GR10" s="30">
        <v>40</v>
      </c>
      <c r="GS10" s="30">
        <v>23.75</v>
      </c>
      <c r="GT10" s="30">
        <v>60</v>
      </c>
      <c r="GU10" s="30">
        <v>55</v>
      </c>
      <c r="GV10" s="30">
        <v>50</v>
      </c>
      <c r="GW10" s="30">
        <v>60</v>
      </c>
      <c r="GX10" s="30">
        <v>50</v>
      </c>
      <c r="GY10" s="30">
        <v>55</v>
      </c>
      <c r="GZ10" s="30">
        <v>70</v>
      </c>
      <c r="HA10" s="42">
        <v>110</v>
      </c>
      <c r="HB10" s="30"/>
      <c r="HC10" s="30"/>
      <c r="HD10" s="30"/>
      <c r="HE10" s="30"/>
      <c r="HF10" s="30"/>
      <c r="HG10" s="30"/>
      <c r="HH10" s="30"/>
      <c r="HI10" s="30">
        <v>55</v>
      </c>
      <c r="HJ10" s="30">
        <v>68</v>
      </c>
      <c r="HK10" s="30">
        <v>55</v>
      </c>
      <c r="HL10" s="30">
        <v>55</v>
      </c>
      <c r="HM10" s="30">
        <v>78.333333333333329</v>
      </c>
      <c r="HN10" s="30">
        <v>53.75</v>
      </c>
      <c r="HO10" s="30" t="s">
        <v>235</v>
      </c>
      <c r="HP10" s="30">
        <v>2</v>
      </c>
      <c r="HQ10" s="30">
        <v>60</v>
      </c>
      <c r="HR10" s="30">
        <v>88</v>
      </c>
      <c r="HS10" s="30" t="s">
        <v>308</v>
      </c>
      <c r="HT10" s="30" t="s">
        <v>309</v>
      </c>
      <c r="HU10" s="30"/>
      <c r="HV10" s="32">
        <v>45049</v>
      </c>
      <c r="HW10" s="30">
        <v>384</v>
      </c>
      <c r="HX10" s="30"/>
      <c r="HY10" s="30">
        <v>10</v>
      </c>
      <c r="HZ10" s="30">
        <v>10</v>
      </c>
      <c r="IA10" s="30">
        <v>5</v>
      </c>
      <c r="IB10" s="30">
        <v>5</v>
      </c>
      <c r="IC10" s="30">
        <v>25</v>
      </c>
      <c r="ID10" s="30">
        <v>55</v>
      </c>
      <c r="IE10" s="30">
        <v>6.25</v>
      </c>
      <c r="IF10" s="30">
        <v>20</v>
      </c>
      <c r="IG10" s="30">
        <v>25</v>
      </c>
      <c r="IH10" s="30">
        <v>10</v>
      </c>
      <c r="II10" s="30">
        <v>5</v>
      </c>
      <c r="IJ10" s="30">
        <v>5</v>
      </c>
      <c r="IK10" s="30">
        <v>25</v>
      </c>
      <c r="IL10" s="30">
        <v>65</v>
      </c>
      <c r="IM10" s="30">
        <v>60</v>
      </c>
      <c r="IN10" s="30"/>
      <c r="IO10" s="30"/>
      <c r="IP10" s="30"/>
      <c r="IQ10" s="30"/>
      <c r="IR10" s="30"/>
      <c r="IS10" s="30"/>
      <c r="IT10" s="30"/>
      <c r="IU10" s="30">
        <v>6.25</v>
      </c>
      <c r="IV10" s="30">
        <v>29</v>
      </c>
      <c r="IW10" s="30">
        <v>18.333333333333332</v>
      </c>
      <c r="IX10" s="30">
        <v>5</v>
      </c>
      <c r="IY10" s="30">
        <v>50</v>
      </c>
      <c r="IZ10" s="30">
        <v>11.25</v>
      </c>
      <c r="JA10" s="30" t="s">
        <v>235</v>
      </c>
      <c r="JB10" s="30">
        <v>0</v>
      </c>
      <c r="JC10" s="30">
        <v>15</v>
      </c>
      <c r="JD10" s="30">
        <v>100</v>
      </c>
      <c r="JE10" s="30">
        <v>5</v>
      </c>
      <c r="JF10" s="30">
        <v>25</v>
      </c>
      <c r="JG10" s="30">
        <v>40</v>
      </c>
      <c r="JH10" s="30">
        <v>35</v>
      </c>
      <c r="JI10" s="30">
        <v>40</v>
      </c>
      <c r="JJ10" s="30">
        <v>40</v>
      </c>
      <c r="JK10" s="30">
        <v>35</v>
      </c>
      <c r="JL10" s="30">
        <v>80</v>
      </c>
      <c r="JM10" s="30">
        <v>75</v>
      </c>
      <c r="JN10" s="30">
        <v>60</v>
      </c>
      <c r="JO10" s="30">
        <v>60</v>
      </c>
      <c r="JP10" s="30">
        <v>50</v>
      </c>
      <c r="JQ10" s="30">
        <v>65</v>
      </c>
      <c r="JR10" s="30">
        <v>75</v>
      </c>
      <c r="JS10" s="30">
        <v>100</v>
      </c>
      <c r="JT10" s="30" t="s">
        <v>277</v>
      </c>
      <c r="JU10" s="30" t="s">
        <v>277</v>
      </c>
      <c r="JV10" s="30" t="s">
        <v>277</v>
      </c>
      <c r="JW10" s="30" t="s">
        <v>277</v>
      </c>
      <c r="JX10" s="30" t="s">
        <v>277</v>
      </c>
      <c r="JY10" s="30" t="s">
        <v>277</v>
      </c>
      <c r="JZ10" s="30" t="s">
        <v>277</v>
      </c>
      <c r="KA10" s="30">
        <v>57.5</v>
      </c>
      <c r="KB10" s="30">
        <v>69</v>
      </c>
      <c r="KC10" s="30">
        <v>71.666666666666671</v>
      </c>
      <c r="KD10" s="30">
        <v>55</v>
      </c>
      <c r="KE10" s="30">
        <v>80</v>
      </c>
      <c r="KF10" s="30">
        <v>58.75</v>
      </c>
      <c r="KG10" s="30" t="s">
        <v>235</v>
      </c>
      <c r="KH10" s="30">
        <v>2</v>
      </c>
      <c r="KI10" s="30">
        <v>65</v>
      </c>
      <c r="KJ10" s="30">
        <v>92</v>
      </c>
      <c r="KK10" s="30" t="s">
        <v>310</v>
      </c>
      <c r="KL10" s="30" t="s">
        <v>311</v>
      </c>
    </row>
    <row r="11" spans="1:299" s="1" customFormat="1">
      <c r="A11" s="8" t="s">
        <v>601</v>
      </c>
      <c r="B11" s="9">
        <v>74</v>
      </c>
      <c r="C11" s="20">
        <v>70</v>
      </c>
      <c r="D11" s="9">
        <v>1</v>
      </c>
      <c r="E11" s="9" t="s">
        <v>590</v>
      </c>
      <c r="F11" s="88">
        <v>8246</v>
      </c>
      <c r="G11" s="9" t="s">
        <v>18</v>
      </c>
      <c r="H11" s="9" t="s">
        <v>19</v>
      </c>
      <c r="I11" s="9" t="s">
        <v>3</v>
      </c>
      <c r="J11" s="19">
        <v>44378</v>
      </c>
      <c r="K11" s="30" t="s">
        <v>661</v>
      </c>
      <c r="L11" s="30" t="s">
        <v>670</v>
      </c>
      <c r="M11" s="9" t="s">
        <v>128</v>
      </c>
      <c r="N11" s="9" t="s">
        <v>100</v>
      </c>
      <c r="O11" s="10"/>
      <c r="P11" s="10">
        <v>44377</v>
      </c>
      <c r="R11" s="10">
        <v>44573</v>
      </c>
      <c r="T11" s="32">
        <v>44377</v>
      </c>
      <c r="U11" s="30">
        <v>-1</v>
      </c>
      <c r="V11" s="30" t="s">
        <v>554</v>
      </c>
      <c r="W11" s="30">
        <v>25</v>
      </c>
      <c r="X11" s="30">
        <v>30</v>
      </c>
      <c r="Y11" s="30">
        <v>55</v>
      </c>
      <c r="Z11" s="30">
        <v>50</v>
      </c>
      <c r="AA11" s="30">
        <v>40</v>
      </c>
      <c r="AB11" s="30">
        <v>55</v>
      </c>
      <c r="AC11" s="33">
        <v>47.5</v>
      </c>
      <c r="AD11" s="30">
        <v>40</v>
      </c>
      <c r="AE11" s="30">
        <v>35</v>
      </c>
      <c r="AF11" s="30">
        <v>35</v>
      </c>
      <c r="AG11" s="30">
        <v>55</v>
      </c>
      <c r="AH11" s="30">
        <v>50</v>
      </c>
      <c r="AI11" s="30">
        <v>40</v>
      </c>
      <c r="AJ11" s="30">
        <v>60</v>
      </c>
      <c r="AK11" s="30">
        <v>70</v>
      </c>
      <c r="AL11" s="31" t="s">
        <v>234</v>
      </c>
      <c r="AM11" s="31" t="s">
        <v>234</v>
      </c>
      <c r="AN11" s="31" t="s">
        <v>234</v>
      </c>
      <c r="AO11" s="31" t="s">
        <v>234</v>
      </c>
      <c r="AP11" s="31" t="s">
        <v>234</v>
      </c>
      <c r="AQ11" s="31" t="s">
        <v>234</v>
      </c>
      <c r="AR11" s="31" t="s">
        <v>234</v>
      </c>
      <c r="AS11" s="33">
        <v>48.75</v>
      </c>
      <c r="AT11" s="33">
        <v>54</v>
      </c>
      <c r="AU11" s="33">
        <v>36.666666666666664</v>
      </c>
      <c r="AV11" s="33">
        <v>52.5</v>
      </c>
      <c r="AW11" s="33">
        <v>56.666666666666664</v>
      </c>
      <c r="AX11" s="33">
        <v>45</v>
      </c>
      <c r="AY11" s="34">
        <v>3</v>
      </c>
      <c r="AZ11" s="33">
        <v>2</v>
      </c>
      <c r="BA11" s="31" t="s">
        <v>234</v>
      </c>
      <c r="BB11" s="31" t="s">
        <v>234</v>
      </c>
      <c r="BC11" s="30">
        <v>5</v>
      </c>
      <c r="BD11" s="30">
        <v>35</v>
      </c>
      <c r="BE11" s="30">
        <v>55</v>
      </c>
      <c r="BF11" s="30">
        <v>50</v>
      </c>
      <c r="BG11" s="30">
        <v>45</v>
      </c>
      <c r="BH11" s="30">
        <v>40</v>
      </c>
      <c r="BI11" s="33">
        <v>48.75</v>
      </c>
      <c r="BJ11" s="30">
        <v>60</v>
      </c>
      <c r="BK11" s="30">
        <v>55</v>
      </c>
      <c r="BL11" s="30">
        <v>65</v>
      </c>
      <c r="BM11" s="30">
        <v>55</v>
      </c>
      <c r="BN11" s="30">
        <v>60</v>
      </c>
      <c r="BO11" s="30">
        <v>65</v>
      </c>
      <c r="BP11" s="30">
        <v>70</v>
      </c>
      <c r="BQ11" s="30">
        <v>80</v>
      </c>
      <c r="BR11" s="31" t="s">
        <v>234</v>
      </c>
      <c r="BS11" s="31" t="s">
        <v>234</v>
      </c>
      <c r="BT11" s="31" t="s">
        <v>234</v>
      </c>
      <c r="BU11" s="31" t="s">
        <v>234</v>
      </c>
      <c r="BV11" s="31" t="s">
        <v>234</v>
      </c>
      <c r="BW11" s="31" t="s">
        <v>234</v>
      </c>
      <c r="BX11" s="31" t="s">
        <v>234</v>
      </c>
      <c r="BY11" s="33">
        <v>58.75</v>
      </c>
      <c r="BZ11" s="33">
        <v>66</v>
      </c>
      <c r="CA11" s="33">
        <v>60</v>
      </c>
      <c r="CB11" s="33">
        <v>57.5</v>
      </c>
      <c r="CC11" s="33">
        <v>71.666666666666671</v>
      </c>
      <c r="CD11" s="33">
        <v>61.25</v>
      </c>
      <c r="CE11" s="30">
        <v>3</v>
      </c>
      <c r="CF11" s="33">
        <v>3</v>
      </c>
      <c r="CG11" s="31" t="s">
        <v>234</v>
      </c>
      <c r="CH11" s="31" t="s">
        <v>234</v>
      </c>
      <c r="CI11" s="30"/>
      <c r="CJ11" s="30"/>
      <c r="CK11" s="49" t="s">
        <v>312</v>
      </c>
      <c r="CL11" s="32">
        <v>44475</v>
      </c>
      <c r="CM11" s="30">
        <v>97</v>
      </c>
      <c r="CN11" s="30"/>
      <c r="CO11" s="30">
        <v>20</v>
      </c>
      <c r="CP11" s="30">
        <v>55</v>
      </c>
      <c r="CQ11" s="30">
        <v>65</v>
      </c>
      <c r="CR11" s="30">
        <v>80</v>
      </c>
      <c r="CS11" s="30">
        <v>75</v>
      </c>
      <c r="CT11" s="30">
        <v>75</v>
      </c>
      <c r="CU11" s="33">
        <v>66.25</v>
      </c>
      <c r="CV11" s="30">
        <v>65</v>
      </c>
      <c r="CW11" s="30">
        <v>75</v>
      </c>
      <c r="CX11" s="30">
        <v>100</v>
      </c>
      <c r="CY11" s="30">
        <v>105</v>
      </c>
      <c r="CZ11" s="30">
        <v>90</v>
      </c>
      <c r="DA11" s="30">
        <v>90</v>
      </c>
      <c r="DB11" s="30">
        <v>90</v>
      </c>
      <c r="DC11" s="30">
        <v>90</v>
      </c>
      <c r="DD11" s="31" t="s">
        <v>234</v>
      </c>
      <c r="DE11" s="31" t="s">
        <v>234</v>
      </c>
      <c r="DF11" s="31" t="s">
        <v>234</v>
      </c>
      <c r="DG11" s="31" t="s">
        <v>234</v>
      </c>
      <c r="DH11" s="31" t="s">
        <v>234</v>
      </c>
      <c r="DI11" s="31" t="s">
        <v>234</v>
      </c>
      <c r="DJ11" s="31" t="s">
        <v>234</v>
      </c>
      <c r="DK11" s="33">
        <v>100</v>
      </c>
      <c r="DL11" s="33">
        <v>95</v>
      </c>
      <c r="DM11" s="33">
        <v>80</v>
      </c>
      <c r="DN11" s="33">
        <v>97.5</v>
      </c>
      <c r="DO11" s="33">
        <v>90</v>
      </c>
      <c r="DP11" s="33">
        <v>96.25</v>
      </c>
      <c r="DQ11" s="30">
        <v>3</v>
      </c>
      <c r="DR11" s="33">
        <v>4</v>
      </c>
      <c r="DS11" s="30">
        <v>100</v>
      </c>
      <c r="DT11" s="30">
        <v>10</v>
      </c>
      <c r="DU11" s="30">
        <v>10</v>
      </c>
      <c r="DV11" s="30">
        <v>35</v>
      </c>
      <c r="DW11" s="30">
        <v>40</v>
      </c>
      <c r="DX11" s="30">
        <v>60</v>
      </c>
      <c r="DY11" s="30">
        <v>45</v>
      </c>
      <c r="DZ11" s="30">
        <v>45</v>
      </c>
      <c r="EA11" s="33">
        <v>43.75</v>
      </c>
      <c r="EB11" s="30">
        <v>50</v>
      </c>
      <c r="EC11" s="30">
        <v>40</v>
      </c>
      <c r="ED11" s="30">
        <v>65</v>
      </c>
      <c r="EE11" s="30">
        <v>50</v>
      </c>
      <c r="EF11" s="30">
        <v>60</v>
      </c>
      <c r="EG11" s="30">
        <v>55</v>
      </c>
      <c r="EH11" s="30">
        <v>65</v>
      </c>
      <c r="EI11" s="30">
        <v>65</v>
      </c>
      <c r="EJ11" s="31" t="s">
        <v>234</v>
      </c>
      <c r="EK11" s="31" t="s">
        <v>234</v>
      </c>
      <c r="EL11" s="31" t="s">
        <v>234</v>
      </c>
      <c r="EM11" s="31" t="s">
        <v>234</v>
      </c>
      <c r="EN11" s="31" t="s">
        <v>234</v>
      </c>
      <c r="EO11" s="31" t="s">
        <v>234</v>
      </c>
      <c r="EP11" s="31" t="s">
        <v>234</v>
      </c>
      <c r="EQ11" s="33">
        <v>56.25</v>
      </c>
      <c r="ER11" s="33">
        <v>61</v>
      </c>
      <c r="ES11" s="33">
        <v>51.666666666666664</v>
      </c>
      <c r="ET11" s="33">
        <v>55</v>
      </c>
      <c r="EU11" s="33">
        <v>61.666666666666664</v>
      </c>
      <c r="EV11" s="33">
        <v>57.5</v>
      </c>
      <c r="EW11" s="30">
        <v>3</v>
      </c>
      <c r="EX11" s="33">
        <v>2</v>
      </c>
      <c r="EY11" s="30">
        <v>60</v>
      </c>
      <c r="EZ11" s="30">
        <v>100</v>
      </c>
      <c r="FA11" s="31" t="s">
        <v>313</v>
      </c>
      <c r="FB11" s="31" t="s">
        <v>314</v>
      </c>
      <c r="FC11" s="30"/>
      <c r="FD11" s="32">
        <v>44573</v>
      </c>
      <c r="FE11" s="30">
        <v>195</v>
      </c>
      <c r="FF11" s="30"/>
      <c r="FG11" s="30">
        <v>25</v>
      </c>
      <c r="FH11" s="30">
        <v>50</v>
      </c>
      <c r="FI11" s="30">
        <v>60</v>
      </c>
      <c r="FJ11" s="30">
        <v>80</v>
      </c>
      <c r="FK11" s="30">
        <v>80</v>
      </c>
      <c r="FL11" s="30">
        <v>70</v>
      </c>
      <c r="FM11" s="33">
        <v>62.5</v>
      </c>
      <c r="FN11" s="30">
        <v>60</v>
      </c>
      <c r="FO11" s="30">
        <v>70</v>
      </c>
      <c r="FP11" s="30">
        <v>90</v>
      </c>
      <c r="FQ11" s="30">
        <v>110</v>
      </c>
      <c r="FR11" s="30">
        <v>85</v>
      </c>
      <c r="FS11" s="30">
        <v>95</v>
      </c>
      <c r="FT11" s="30">
        <v>90</v>
      </c>
      <c r="FU11" s="30">
        <v>85</v>
      </c>
      <c r="FV11" s="31" t="s">
        <v>234</v>
      </c>
      <c r="FW11" s="31" t="s">
        <v>234</v>
      </c>
      <c r="FX11" s="31" t="s">
        <v>234</v>
      </c>
      <c r="FY11" s="31" t="s">
        <v>234</v>
      </c>
      <c r="FZ11" s="31" t="s">
        <v>234</v>
      </c>
      <c r="GA11" s="31" t="s">
        <v>234</v>
      </c>
      <c r="GB11" s="31" t="s">
        <v>234</v>
      </c>
      <c r="GC11" s="33">
        <v>98.75</v>
      </c>
      <c r="GD11" s="33">
        <v>92</v>
      </c>
      <c r="GE11" s="33">
        <v>73.333333333333329</v>
      </c>
      <c r="GF11" s="33">
        <v>97.5</v>
      </c>
      <c r="GG11" s="33">
        <v>90</v>
      </c>
      <c r="GH11" s="33">
        <v>95</v>
      </c>
      <c r="GI11" s="30">
        <v>3</v>
      </c>
      <c r="GJ11" s="33">
        <v>4</v>
      </c>
      <c r="GK11" s="30">
        <v>100</v>
      </c>
      <c r="GL11" s="30">
        <v>45</v>
      </c>
      <c r="GM11" s="30">
        <v>15</v>
      </c>
      <c r="GN11" s="30">
        <v>40</v>
      </c>
      <c r="GO11" s="30">
        <v>55</v>
      </c>
      <c r="GP11" s="30">
        <v>60</v>
      </c>
      <c r="GQ11" s="30">
        <v>50</v>
      </c>
      <c r="GR11" s="30">
        <v>55</v>
      </c>
      <c r="GS11" s="30">
        <v>52.5</v>
      </c>
      <c r="GT11" s="30">
        <v>60</v>
      </c>
      <c r="GU11" s="30">
        <v>55</v>
      </c>
      <c r="GV11" s="30">
        <v>70</v>
      </c>
      <c r="GW11" s="30">
        <v>55</v>
      </c>
      <c r="GX11" s="30">
        <v>70</v>
      </c>
      <c r="GY11" s="30">
        <v>65</v>
      </c>
      <c r="GZ11" s="30">
        <v>75</v>
      </c>
      <c r="HA11" s="30">
        <v>80</v>
      </c>
      <c r="HB11" s="31" t="s">
        <v>234</v>
      </c>
      <c r="HC11" s="31" t="s">
        <v>234</v>
      </c>
      <c r="HD11" s="31" t="s">
        <v>234</v>
      </c>
      <c r="HE11" s="31" t="s">
        <v>234</v>
      </c>
      <c r="HF11" s="31" t="s">
        <v>234</v>
      </c>
      <c r="HG11" s="31" t="s">
        <v>234</v>
      </c>
      <c r="HH11" s="31" t="s">
        <v>234</v>
      </c>
      <c r="HI11" s="30">
        <v>62.5</v>
      </c>
      <c r="HJ11" s="30">
        <v>70</v>
      </c>
      <c r="HK11" s="30">
        <v>61.666666666666664</v>
      </c>
      <c r="HL11" s="30">
        <v>62.5</v>
      </c>
      <c r="HM11" s="30">
        <v>73.333333333333329</v>
      </c>
      <c r="HN11" s="30">
        <v>65</v>
      </c>
      <c r="HO11" s="30">
        <v>3</v>
      </c>
      <c r="HP11" s="30">
        <v>3</v>
      </c>
      <c r="HQ11" s="30">
        <v>70</v>
      </c>
      <c r="HR11" s="30">
        <v>95</v>
      </c>
      <c r="HS11" s="31" t="s">
        <v>315</v>
      </c>
      <c r="HT11" s="31" t="s">
        <v>316</v>
      </c>
      <c r="HU11" s="30"/>
      <c r="HV11" s="50"/>
      <c r="HW11" s="30">
        <v>-44378</v>
      </c>
      <c r="HX11" s="30"/>
      <c r="HY11" s="30"/>
      <c r="HZ11" s="30"/>
      <c r="IA11" s="30"/>
      <c r="IB11" s="30"/>
      <c r="IC11" s="30"/>
      <c r="ID11" s="30"/>
      <c r="IE11" s="30">
        <v>0</v>
      </c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>
        <v>0</v>
      </c>
      <c r="IV11" s="30" t="e">
        <v>#DIV/0!</v>
      </c>
      <c r="IW11" s="30" t="e">
        <v>#DIV/0!</v>
      </c>
      <c r="IX11" s="30" t="e">
        <v>#DIV/0!</v>
      </c>
      <c r="IY11" s="30" t="e">
        <v>#DIV/0!</v>
      </c>
      <c r="IZ11" s="30" t="e">
        <v>#DIV/0!</v>
      </c>
      <c r="JA11" s="30" t="e">
        <v>#DIV/0!</v>
      </c>
      <c r="JB11" s="30" t="e">
        <v>#DIV/0!</v>
      </c>
      <c r="JC11" s="30"/>
      <c r="JD11" s="30"/>
      <c r="JE11" s="30"/>
      <c r="JF11" s="30"/>
      <c r="JG11" s="30"/>
      <c r="JH11" s="30"/>
      <c r="JI11" s="30"/>
      <c r="JJ11" s="30"/>
      <c r="JK11" s="30">
        <v>0</v>
      </c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>
        <v>0</v>
      </c>
      <c r="KB11" s="30" t="e">
        <v>#DIV/0!</v>
      </c>
      <c r="KC11" s="30" t="e">
        <v>#DIV/0!</v>
      </c>
      <c r="KD11" s="30" t="e">
        <v>#DIV/0!</v>
      </c>
      <c r="KE11" s="30" t="e">
        <v>#DIV/0!</v>
      </c>
      <c r="KF11" s="30" t="e">
        <v>#DIV/0!</v>
      </c>
      <c r="KG11" s="30" t="e">
        <v>#DIV/0!</v>
      </c>
      <c r="KH11" s="30" t="e">
        <v>#DIV/0!</v>
      </c>
    </row>
    <row r="12" spans="1:299" s="1" customFormat="1">
      <c r="A12" s="8" t="s">
        <v>602</v>
      </c>
      <c r="B12" s="9">
        <v>32</v>
      </c>
      <c r="C12" s="20">
        <v>30</v>
      </c>
      <c r="D12" s="9">
        <v>2</v>
      </c>
      <c r="E12" s="9" t="s">
        <v>588</v>
      </c>
      <c r="F12" s="9">
        <v>8245</v>
      </c>
      <c r="G12" s="9" t="s">
        <v>8</v>
      </c>
      <c r="H12" s="9" t="s">
        <v>9</v>
      </c>
      <c r="I12" s="9" t="s">
        <v>1</v>
      </c>
      <c r="J12" s="19">
        <v>44378</v>
      </c>
      <c r="K12" s="30" t="s">
        <v>661</v>
      </c>
      <c r="L12" s="30" t="s">
        <v>671</v>
      </c>
      <c r="M12" s="9" t="s">
        <v>142</v>
      </c>
      <c r="N12" s="9" t="s">
        <v>97</v>
      </c>
      <c r="O12" s="10"/>
      <c r="P12" s="10">
        <v>44377</v>
      </c>
      <c r="Q12" s="10">
        <v>44447</v>
      </c>
      <c r="R12" s="10">
        <v>44550</v>
      </c>
      <c r="S12" s="10">
        <v>44825</v>
      </c>
      <c r="T12" s="35">
        <v>44377</v>
      </c>
      <c r="U12" s="30">
        <v>-1</v>
      </c>
      <c r="V12" s="30" t="s">
        <v>569</v>
      </c>
      <c r="W12" s="30">
        <v>20</v>
      </c>
      <c r="X12" s="30">
        <v>5</v>
      </c>
      <c r="Y12" s="30">
        <v>5</v>
      </c>
      <c r="Z12" s="30">
        <v>5</v>
      </c>
      <c r="AA12" s="30">
        <v>15</v>
      </c>
      <c r="AB12" s="30">
        <v>5</v>
      </c>
      <c r="AC12" s="33">
        <v>5</v>
      </c>
      <c r="AD12" s="30">
        <v>20</v>
      </c>
      <c r="AE12" s="30">
        <v>20</v>
      </c>
      <c r="AF12" s="30">
        <v>10</v>
      </c>
      <c r="AG12" s="30">
        <v>10</v>
      </c>
      <c r="AH12" s="30">
        <v>10</v>
      </c>
      <c r="AI12" s="30">
        <v>15</v>
      </c>
      <c r="AJ12" s="30">
        <v>10</v>
      </c>
      <c r="AK12" s="30">
        <v>10</v>
      </c>
      <c r="AL12" s="31" t="s">
        <v>234</v>
      </c>
      <c r="AM12" s="31" t="s">
        <v>234</v>
      </c>
      <c r="AN12" s="31" t="s">
        <v>234</v>
      </c>
      <c r="AO12" s="31" t="s">
        <v>234</v>
      </c>
      <c r="AP12" s="31" t="s">
        <v>234</v>
      </c>
      <c r="AQ12" s="31" t="s">
        <v>234</v>
      </c>
      <c r="AR12" s="31" t="s">
        <v>234</v>
      </c>
      <c r="AS12" s="33">
        <v>10</v>
      </c>
      <c r="AT12" s="33">
        <v>10</v>
      </c>
      <c r="AU12" s="33">
        <v>16.666666666666668</v>
      </c>
      <c r="AV12" s="33">
        <v>10</v>
      </c>
      <c r="AW12" s="33">
        <v>11.666666666666666</v>
      </c>
      <c r="AX12" s="33">
        <v>11.25</v>
      </c>
      <c r="AY12" s="34">
        <v>1</v>
      </c>
      <c r="AZ12" s="33">
        <v>0</v>
      </c>
      <c r="BA12" s="31" t="s">
        <v>234</v>
      </c>
      <c r="BB12" s="31" t="s">
        <v>234</v>
      </c>
      <c r="BC12" s="30">
        <v>5</v>
      </c>
      <c r="BD12" s="30">
        <v>20</v>
      </c>
      <c r="BE12" s="30">
        <v>5</v>
      </c>
      <c r="BF12" s="30">
        <v>5</v>
      </c>
      <c r="BG12" s="30">
        <v>20</v>
      </c>
      <c r="BH12" s="30">
        <v>25</v>
      </c>
      <c r="BI12" s="33">
        <v>8.75</v>
      </c>
      <c r="BJ12" s="30">
        <v>45</v>
      </c>
      <c r="BK12" s="30">
        <v>45</v>
      </c>
      <c r="BL12" s="30">
        <v>50</v>
      </c>
      <c r="BM12" s="30">
        <v>40</v>
      </c>
      <c r="BN12" s="30">
        <v>25</v>
      </c>
      <c r="BO12" s="30">
        <v>25</v>
      </c>
      <c r="BP12" s="30">
        <v>30</v>
      </c>
      <c r="BQ12" s="30">
        <v>40</v>
      </c>
      <c r="BR12" s="31" t="s">
        <v>234</v>
      </c>
      <c r="BS12" s="31" t="s">
        <v>234</v>
      </c>
      <c r="BT12" s="31" t="s">
        <v>234</v>
      </c>
      <c r="BU12" s="31" t="s">
        <v>234</v>
      </c>
      <c r="BV12" s="31" t="s">
        <v>234</v>
      </c>
      <c r="BW12" s="31" t="s">
        <v>234</v>
      </c>
      <c r="BX12" s="31" t="s">
        <v>234</v>
      </c>
      <c r="BY12" s="33">
        <v>38.75</v>
      </c>
      <c r="BZ12" s="33">
        <v>37</v>
      </c>
      <c r="CA12" s="33">
        <v>46.666666666666664</v>
      </c>
      <c r="CB12" s="33">
        <v>32.5</v>
      </c>
      <c r="CC12" s="33">
        <v>31.666666666666668</v>
      </c>
      <c r="CD12" s="33">
        <v>35</v>
      </c>
      <c r="CE12" s="30">
        <v>1</v>
      </c>
      <c r="CF12" s="33">
        <v>1</v>
      </c>
      <c r="CG12" s="31" t="s">
        <v>234</v>
      </c>
      <c r="CH12" s="31" t="s">
        <v>234</v>
      </c>
      <c r="CI12" s="30"/>
      <c r="CJ12" s="30"/>
      <c r="CK12" s="57" t="s">
        <v>317</v>
      </c>
      <c r="CL12" s="45">
        <v>44536</v>
      </c>
      <c r="CM12" s="30">
        <v>158</v>
      </c>
      <c r="CN12" s="30"/>
      <c r="CO12" s="30">
        <v>25</v>
      </c>
      <c r="CP12" s="30">
        <v>30</v>
      </c>
      <c r="CQ12" s="30">
        <v>30</v>
      </c>
      <c r="CR12" s="30">
        <v>10</v>
      </c>
      <c r="CS12" s="30">
        <v>15</v>
      </c>
      <c r="CT12" s="30">
        <v>10</v>
      </c>
      <c r="CU12" s="33">
        <v>25</v>
      </c>
      <c r="CV12" s="30">
        <v>25</v>
      </c>
      <c r="CW12" s="30">
        <v>25</v>
      </c>
      <c r="CX12" s="30">
        <v>30</v>
      </c>
      <c r="CY12" s="30">
        <v>30</v>
      </c>
      <c r="CZ12" s="30">
        <v>10</v>
      </c>
      <c r="DA12" s="30">
        <v>15</v>
      </c>
      <c r="DB12" s="30">
        <v>10</v>
      </c>
      <c r="DC12" s="30">
        <v>20</v>
      </c>
      <c r="DD12" s="30"/>
      <c r="DE12" s="30"/>
      <c r="DF12" s="30"/>
      <c r="DG12" s="30"/>
      <c r="DH12" s="30"/>
      <c r="DI12" s="30"/>
      <c r="DJ12" s="30"/>
      <c r="DK12" s="33">
        <v>25</v>
      </c>
      <c r="DL12" s="33">
        <v>20</v>
      </c>
      <c r="DM12" s="33">
        <v>26.666666666666668</v>
      </c>
      <c r="DN12" s="33">
        <v>20</v>
      </c>
      <c r="DO12" s="33">
        <v>15</v>
      </c>
      <c r="DP12" s="33">
        <v>21.25</v>
      </c>
      <c r="DQ12" s="30">
        <v>1</v>
      </c>
      <c r="DR12" s="33">
        <v>1</v>
      </c>
      <c r="DS12" s="30">
        <v>25</v>
      </c>
      <c r="DT12" s="30">
        <v>100</v>
      </c>
      <c r="DU12" s="30">
        <v>0</v>
      </c>
      <c r="DV12" s="30">
        <v>5</v>
      </c>
      <c r="DW12" s="30">
        <v>5</v>
      </c>
      <c r="DX12" s="30">
        <v>15</v>
      </c>
      <c r="DY12" s="30">
        <v>10</v>
      </c>
      <c r="DZ12" s="30">
        <v>10</v>
      </c>
      <c r="EA12" s="33">
        <v>7.5</v>
      </c>
      <c r="EB12" s="30">
        <v>20</v>
      </c>
      <c r="EC12" s="30">
        <v>20</v>
      </c>
      <c r="ED12" s="30">
        <v>35</v>
      </c>
      <c r="EE12" s="30">
        <v>25</v>
      </c>
      <c r="EF12" s="30">
        <v>15</v>
      </c>
      <c r="EG12" s="30">
        <v>10</v>
      </c>
      <c r="EH12" s="30">
        <v>10</v>
      </c>
      <c r="EI12" s="30">
        <v>45</v>
      </c>
      <c r="EJ12" s="30"/>
      <c r="EK12" s="30"/>
      <c r="EL12" s="30"/>
      <c r="EM12" s="30"/>
      <c r="EN12" s="30"/>
      <c r="EO12" s="30"/>
      <c r="EP12" s="30"/>
      <c r="EQ12" s="33">
        <v>25</v>
      </c>
      <c r="ER12" s="33">
        <v>26</v>
      </c>
      <c r="ES12" s="33">
        <v>25</v>
      </c>
      <c r="ET12" s="33">
        <v>20</v>
      </c>
      <c r="EU12" s="33">
        <v>21.666666666666668</v>
      </c>
      <c r="EV12" s="33">
        <v>21.25</v>
      </c>
      <c r="EW12" s="30">
        <v>6</v>
      </c>
      <c r="EX12" s="33">
        <v>1</v>
      </c>
      <c r="EY12" s="30">
        <v>30</v>
      </c>
      <c r="EZ12" s="30">
        <v>0</v>
      </c>
      <c r="FA12" s="30"/>
      <c r="FB12" s="30"/>
      <c r="FC12" s="56"/>
      <c r="FD12" s="35">
        <v>44585</v>
      </c>
      <c r="FE12" s="30">
        <v>207</v>
      </c>
      <c r="FF12" s="30"/>
      <c r="FG12" s="30">
        <v>5</v>
      </c>
      <c r="FH12" s="30">
        <v>20</v>
      </c>
      <c r="FI12" s="30">
        <v>10</v>
      </c>
      <c r="FJ12" s="30">
        <v>10</v>
      </c>
      <c r="FK12" s="30">
        <v>5</v>
      </c>
      <c r="FL12" s="30">
        <v>5</v>
      </c>
      <c r="FM12" s="33">
        <v>12.5</v>
      </c>
      <c r="FN12" s="30">
        <v>30</v>
      </c>
      <c r="FO12" s="30">
        <v>30</v>
      </c>
      <c r="FP12" s="30">
        <v>20</v>
      </c>
      <c r="FQ12" s="30">
        <v>15</v>
      </c>
      <c r="FR12" s="30">
        <v>10</v>
      </c>
      <c r="FS12" s="30">
        <v>5</v>
      </c>
      <c r="FT12" s="30">
        <v>5</v>
      </c>
      <c r="FU12" s="30">
        <v>15</v>
      </c>
      <c r="FV12" s="31" t="s">
        <v>234</v>
      </c>
      <c r="FW12" s="31" t="s">
        <v>234</v>
      </c>
      <c r="FX12" s="31" t="s">
        <v>234</v>
      </c>
      <c r="FY12" s="31" t="s">
        <v>234</v>
      </c>
      <c r="FZ12" s="31" t="s">
        <v>234</v>
      </c>
      <c r="GA12" s="31" t="s">
        <v>234</v>
      </c>
      <c r="GB12" s="31" t="s">
        <v>234</v>
      </c>
      <c r="GC12" s="33">
        <v>15</v>
      </c>
      <c r="GD12" s="33">
        <v>13</v>
      </c>
      <c r="GE12" s="33">
        <v>26.666666666666668</v>
      </c>
      <c r="GF12" s="33">
        <v>12.5</v>
      </c>
      <c r="GG12" s="33">
        <v>8.3333333333333339</v>
      </c>
      <c r="GH12" s="33">
        <v>12.5</v>
      </c>
      <c r="GI12" s="30">
        <v>1</v>
      </c>
      <c r="GJ12" s="33">
        <v>0</v>
      </c>
      <c r="GK12" s="30">
        <v>20</v>
      </c>
      <c r="GL12" s="30">
        <v>100</v>
      </c>
      <c r="GM12" s="30">
        <v>0</v>
      </c>
      <c r="GN12" s="30">
        <v>10</v>
      </c>
      <c r="GO12" s="30">
        <v>0</v>
      </c>
      <c r="GP12" s="30">
        <v>0</v>
      </c>
      <c r="GQ12" s="30">
        <v>5</v>
      </c>
      <c r="GR12" s="30">
        <v>5</v>
      </c>
      <c r="GS12" s="30">
        <v>2.5</v>
      </c>
      <c r="GT12" s="30">
        <v>25</v>
      </c>
      <c r="GU12" s="30">
        <v>30</v>
      </c>
      <c r="GV12" s="30">
        <v>30</v>
      </c>
      <c r="GW12" s="30">
        <v>25</v>
      </c>
      <c r="GX12" s="30">
        <v>15</v>
      </c>
      <c r="GY12" s="30">
        <v>5</v>
      </c>
      <c r="GZ12" s="30">
        <v>15</v>
      </c>
      <c r="HA12" s="30">
        <v>25</v>
      </c>
      <c r="HB12" s="31" t="s">
        <v>234</v>
      </c>
      <c r="HC12" s="31" t="s">
        <v>234</v>
      </c>
      <c r="HD12" s="31" t="s">
        <v>234</v>
      </c>
      <c r="HE12" s="31" t="s">
        <v>234</v>
      </c>
      <c r="HF12" s="31" t="s">
        <v>234</v>
      </c>
      <c r="HG12" s="31" t="s">
        <v>234</v>
      </c>
      <c r="HH12" s="31" t="s">
        <v>234</v>
      </c>
      <c r="HI12" s="30">
        <v>23.75</v>
      </c>
      <c r="HJ12" s="30">
        <v>22</v>
      </c>
      <c r="HK12" s="30">
        <v>28.333333333333332</v>
      </c>
      <c r="HL12" s="30">
        <v>20</v>
      </c>
      <c r="HM12" s="30">
        <v>15</v>
      </c>
      <c r="HN12" s="30">
        <v>18.75</v>
      </c>
      <c r="HO12" s="30">
        <v>6</v>
      </c>
      <c r="HP12" s="30">
        <v>0</v>
      </c>
      <c r="HQ12" s="30">
        <v>20</v>
      </c>
      <c r="HR12" s="30">
        <v>100</v>
      </c>
      <c r="HS12" s="31" t="s">
        <v>318</v>
      </c>
      <c r="HT12" s="31" t="s">
        <v>319</v>
      </c>
      <c r="HU12" s="56"/>
      <c r="HV12" s="28">
        <v>44825</v>
      </c>
      <c r="HW12" s="30">
        <v>447</v>
      </c>
      <c r="HX12" s="30"/>
      <c r="HY12" s="30">
        <v>20</v>
      </c>
      <c r="HZ12" s="30">
        <v>20</v>
      </c>
      <c r="IA12" s="30">
        <v>15</v>
      </c>
      <c r="IB12" s="30">
        <v>5</v>
      </c>
      <c r="IC12" s="30">
        <v>10</v>
      </c>
      <c r="ID12" s="30">
        <v>10</v>
      </c>
      <c r="IE12" s="30">
        <v>13.75</v>
      </c>
      <c r="IF12" s="30">
        <v>20</v>
      </c>
      <c r="IG12" s="30">
        <v>20</v>
      </c>
      <c r="IH12" s="30">
        <v>20</v>
      </c>
      <c r="II12" s="30">
        <v>15</v>
      </c>
      <c r="IJ12" s="30">
        <v>5</v>
      </c>
      <c r="IK12" s="30">
        <v>10</v>
      </c>
      <c r="IL12" s="30">
        <v>10</v>
      </c>
      <c r="IM12" s="30">
        <v>5</v>
      </c>
      <c r="IN12" s="31" t="s">
        <v>234</v>
      </c>
      <c r="IO12" s="31" t="s">
        <v>234</v>
      </c>
      <c r="IP12" s="31" t="s">
        <v>234</v>
      </c>
      <c r="IQ12" s="31" t="s">
        <v>234</v>
      </c>
      <c r="IR12" s="31" t="s">
        <v>234</v>
      </c>
      <c r="IS12" s="31" t="s">
        <v>234</v>
      </c>
      <c r="IT12" s="31" t="s">
        <v>234</v>
      </c>
      <c r="IU12" s="30">
        <v>13.75</v>
      </c>
      <c r="IV12" s="30">
        <v>11</v>
      </c>
      <c r="IW12" s="30">
        <v>20</v>
      </c>
      <c r="IX12" s="30">
        <v>10</v>
      </c>
      <c r="IY12" s="30">
        <v>8.3333333333333339</v>
      </c>
      <c r="IZ12" s="30">
        <v>12.5</v>
      </c>
      <c r="JA12" s="30">
        <v>1</v>
      </c>
      <c r="JB12" s="30">
        <v>0</v>
      </c>
      <c r="JC12" s="30">
        <v>20</v>
      </c>
      <c r="JD12" s="30">
        <v>100</v>
      </c>
      <c r="JE12" s="30">
        <v>15</v>
      </c>
      <c r="JF12" s="30">
        <v>15</v>
      </c>
      <c r="JG12" s="30">
        <v>5</v>
      </c>
      <c r="JH12" s="30">
        <v>10</v>
      </c>
      <c r="JI12" s="30">
        <v>10</v>
      </c>
      <c r="JJ12" s="30">
        <v>5</v>
      </c>
      <c r="JK12" s="30">
        <v>8.75</v>
      </c>
      <c r="JL12" s="30">
        <v>25</v>
      </c>
      <c r="JM12" s="30">
        <v>25</v>
      </c>
      <c r="JN12" s="30">
        <v>30</v>
      </c>
      <c r="JO12" s="30">
        <v>15</v>
      </c>
      <c r="JP12" s="30">
        <v>10</v>
      </c>
      <c r="JQ12" s="30">
        <v>10</v>
      </c>
      <c r="JR12" s="30">
        <v>5</v>
      </c>
      <c r="JS12" s="30">
        <v>35</v>
      </c>
      <c r="JT12" s="31" t="s">
        <v>234</v>
      </c>
      <c r="JU12" s="31" t="s">
        <v>234</v>
      </c>
      <c r="JV12" s="31" t="s">
        <v>234</v>
      </c>
      <c r="JW12" s="31" t="s">
        <v>234</v>
      </c>
      <c r="JX12" s="31" t="s">
        <v>234</v>
      </c>
      <c r="JY12" s="31" t="s">
        <v>234</v>
      </c>
      <c r="JZ12" s="31" t="s">
        <v>234</v>
      </c>
      <c r="KA12" s="30">
        <v>17.5</v>
      </c>
      <c r="KB12" s="30">
        <v>19</v>
      </c>
      <c r="KC12" s="30">
        <v>26.666666666666668</v>
      </c>
      <c r="KD12" s="30">
        <v>12.5</v>
      </c>
      <c r="KE12" s="30">
        <v>16.666666666666668</v>
      </c>
      <c r="KF12" s="30">
        <v>16.25</v>
      </c>
      <c r="KG12" s="30" t="s">
        <v>235</v>
      </c>
      <c r="KH12" s="30">
        <v>0</v>
      </c>
      <c r="KI12" s="30">
        <v>25</v>
      </c>
      <c r="KJ12" s="30">
        <v>100</v>
      </c>
      <c r="KK12" s="31" t="s">
        <v>320</v>
      </c>
      <c r="KL12" s="31" t="s">
        <v>321</v>
      </c>
    </row>
    <row r="13" spans="1:299" s="1" customFormat="1" ht="148.5">
      <c r="A13" s="8" t="s">
        <v>603</v>
      </c>
      <c r="B13" s="1">
        <v>66</v>
      </c>
      <c r="C13" s="20">
        <v>60</v>
      </c>
      <c r="D13" s="1">
        <v>2</v>
      </c>
      <c r="E13" s="1" t="s">
        <v>591</v>
      </c>
      <c r="F13" s="1">
        <v>21126</v>
      </c>
      <c r="G13" s="12" t="s">
        <v>67</v>
      </c>
      <c r="H13" s="12" t="s">
        <v>86</v>
      </c>
      <c r="I13" s="12" t="s">
        <v>22</v>
      </c>
      <c r="J13" s="10">
        <v>44749</v>
      </c>
      <c r="K13" s="10" t="s">
        <v>685</v>
      </c>
      <c r="L13" s="79" t="s">
        <v>715</v>
      </c>
      <c r="M13" s="12" t="s">
        <v>114</v>
      </c>
      <c r="N13" s="14" t="s">
        <v>122</v>
      </c>
      <c r="T13" s="10">
        <v>44747</v>
      </c>
      <c r="U13" s="30">
        <v>-7</v>
      </c>
      <c r="V13" s="1" t="s">
        <v>555</v>
      </c>
      <c r="W13" s="1">
        <v>5</v>
      </c>
      <c r="X13" s="1">
        <v>10</v>
      </c>
      <c r="Y13" s="1">
        <v>15</v>
      </c>
      <c r="Z13" s="1">
        <v>40</v>
      </c>
      <c r="AA13" s="1">
        <v>40</v>
      </c>
      <c r="AB13" s="1">
        <v>30</v>
      </c>
      <c r="AC13" s="1">
        <v>20</v>
      </c>
      <c r="AD13" s="1">
        <v>10</v>
      </c>
      <c r="AE13" s="1">
        <v>5</v>
      </c>
      <c r="AF13" s="1">
        <v>10</v>
      </c>
      <c r="AG13" s="1">
        <v>15</v>
      </c>
      <c r="AH13" s="1">
        <v>40</v>
      </c>
      <c r="AI13" s="1">
        <v>40</v>
      </c>
      <c r="AJ13" s="1">
        <v>30</v>
      </c>
      <c r="AK13" s="1">
        <v>10</v>
      </c>
      <c r="AS13" s="33">
        <v>20</v>
      </c>
      <c r="AT13" s="33">
        <v>21</v>
      </c>
      <c r="AU13" s="33">
        <v>8.3333333333333339</v>
      </c>
      <c r="AV13" s="33">
        <v>27.5</v>
      </c>
      <c r="AW13" s="33">
        <v>26.666666666666668</v>
      </c>
      <c r="AX13" s="33">
        <v>26.25</v>
      </c>
      <c r="AY13" s="1">
        <v>6</v>
      </c>
      <c r="AZ13" s="33">
        <v>1</v>
      </c>
      <c r="BA13" s="1">
        <v>30</v>
      </c>
      <c r="BB13" s="1">
        <v>100</v>
      </c>
      <c r="BC13" s="1">
        <v>45</v>
      </c>
      <c r="BD13" s="1">
        <v>50</v>
      </c>
      <c r="BE13" s="1">
        <v>40</v>
      </c>
      <c r="BF13" s="1">
        <v>55</v>
      </c>
      <c r="BG13" s="1">
        <v>40</v>
      </c>
      <c r="BH13" s="1">
        <v>25</v>
      </c>
      <c r="BI13" s="33">
        <v>46.25</v>
      </c>
      <c r="BJ13" s="1">
        <v>80</v>
      </c>
      <c r="BK13" s="1">
        <v>75</v>
      </c>
      <c r="BL13" s="1">
        <v>70</v>
      </c>
      <c r="BM13" s="1">
        <v>80</v>
      </c>
      <c r="BN13" s="1">
        <v>65</v>
      </c>
      <c r="BO13" s="1">
        <v>75</v>
      </c>
      <c r="BP13" s="1">
        <v>75</v>
      </c>
      <c r="BQ13" s="1">
        <v>70</v>
      </c>
      <c r="BY13" s="33">
        <v>73.75</v>
      </c>
      <c r="BZ13" s="33">
        <v>72</v>
      </c>
      <c r="CA13" s="33">
        <v>75</v>
      </c>
      <c r="CB13" s="33">
        <v>72.5</v>
      </c>
      <c r="CC13" s="33">
        <v>73.333333333333329</v>
      </c>
      <c r="CD13" s="33">
        <v>72.5</v>
      </c>
      <c r="CE13" s="1">
        <v>6</v>
      </c>
      <c r="CF13" s="33">
        <v>3</v>
      </c>
      <c r="CG13" s="1">
        <v>75</v>
      </c>
      <c r="CH13" s="1">
        <v>88</v>
      </c>
      <c r="CK13" s="22"/>
      <c r="CM13" s="30">
        <v>-44754</v>
      </c>
      <c r="CU13" s="33">
        <v>0</v>
      </c>
      <c r="DK13" s="33">
        <v>0</v>
      </c>
      <c r="DL13" s="33" t="e">
        <v>#DIV/0!</v>
      </c>
      <c r="DM13" s="33" t="e">
        <v>#DIV/0!</v>
      </c>
      <c r="DN13" s="33" t="e">
        <v>#DIV/0!</v>
      </c>
      <c r="DO13" s="33" t="e">
        <v>#DIV/0!</v>
      </c>
      <c r="DP13" s="33" t="e">
        <v>#DIV/0!</v>
      </c>
      <c r="DR13" s="33" t="e">
        <v>#DIV/0!</v>
      </c>
      <c r="EA13" s="33">
        <v>0</v>
      </c>
      <c r="EQ13" s="33">
        <v>0</v>
      </c>
      <c r="ER13" s="33" t="e">
        <v>#DIV/0!</v>
      </c>
      <c r="ES13" s="33" t="e">
        <v>#DIV/0!</v>
      </c>
      <c r="ET13" s="33" t="e">
        <v>#DIV/0!</v>
      </c>
      <c r="EU13" s="33" t="e">
        <v>#DIV/0!</v>
      </c>
      <c r="EV13" s="33" t="e">
        <v>#DIV/0!</v>
      </c>
      <c r="EX13" s="33" t="e">
        <v>#DIV/0!</v>
      </c>
      <c r="FC13" s="22"/>
      <c r="FE13" s="30">
        <v>-44754</v>
      </c>
      <c r="FM13" s="33">
        <v>0</v>
      </c>
      <c r="GC13" s="33">
        <v>0</v>
      </c>
      <c r="GD13" s="33" t="e">
        <v>#DIV/0!</v>
      </c>
      <c r="GE13" s="33" t="e">
        <v>#DIV/0!</v>
      </c>
      <c r="GF13" s="33" t="e">
        <v>#DIV/0!</v>
      </c>
      <c r="GG13" s="33" t="e">
        <v>#DIV/0!</v>
      </c>
      <c r="GH13" s="33" t="e">
        <v>#DIV/0!</v>
      </c>
      <c r="GJ13" s="33" t="e">
        <v>#DIV/0!</v>
      </c>
      <c r="GS13" s="30">
        <v>0</v>
      </c>
      <c r="HI13" s="30">
        <v>0</v>
      </c>
      <c r="HJ13" s="30" t="e">
        <v>#DIV/0!</v>
      </c>
      <c r="HK13" s="30" t="e">
        <v>#DIV/0!</v>
      </c>
      <c r="HL13" s="30" t="e">
        <v>#DIV/0!</v>
      </c>
      <c r="HM13" s="30" t="e">
        <v>#DIV/0!</v>
      </c>
      <c r="HN13" s="30" t="e">
        <v>#DIV/0!</v>
      </c>
      <c r="HP13" s="30" t="e">
        <v>#DIV/0!</v>
      </c>
      <c r="HW13" s="30">
        <v>-44754</v>
      </c>
      <c r="IE13" s="30">
        <v>0</v>
      </c>
      <c r="IU13" s="30">
        <v>0</v>
      </c>
      <c r="IV13" s="30" t="e">
        <v>#DIV/0!</v>
      </c>
      <c r="IW13" s="30" t="e">
        <v>#DIV/0!</v>
      </c>
      <c r="IX13" s="30" t="e">
        <v>#DIV/0!</v>
      </c>
      <c r="IY13" s="30" t="e">
        <v>#DIV/0!</v>
      </c>
      <c r="IZ13" s="30" t="e">
        <v>#DIV/0!</v>
      </c>
      <c r="JB13" s="30" t="e">
        <v>#DIV/0!</v>
      </c>
      <c r="JK13" s="30">
        <v>0</v>
      </c>
      <c r="KA13" s="30">
        <v>0</v>
      </c>
      <c r="KB13" s="30" t="e">
        <v>#DIV/0!</v>
      </c>
      <c r="KC13" s="30" t="e">
        <v>#DIV/0!</v>
      </c>
      <c r="KD13" s="30" t="e">
        <v>#DIV/0!</v>
      </c>
      <c r="KE13" s="30" t="e">
        <v>#DIV/0!</v>
      </c>
      <c r="KF13" s="30" t="e">
        <v>#DIV/0!</v>
      </c>
      <c r="KH13" s="30" t="e">
        <v>#DIV/0!</v>
      </c>
    </row>
    <row r="14" spans="1:299" s="1" customFormat="1" ht="33">
      <c r="A14" s="8" t="s">
        <v>604</v>
      </c>
      <c r="B14" s="9">
        <v>62</v>
      </c>
      <c r="C14" s="20">
        <v>60</v>
      </c>
      <c r="D14" s="9">
        <v>1</v>
      </c>
      <c r="E14" s="9" t="s">
        <v>589</v>
      </c>
      <c r="F14" s="9">
        <v>8243</v>
      </c>
      <c r="G14" s="9" t="s">
        <v>15</v>
      </c>
      <c r="H14" s="9" t="s">
        <v>14</v>
      </c>
      <c r="I14" s="9" t="s">
        <v>2</v>
      </c>
      <c r="J14" s="19">
        <v>44021</v>
      </c>
      <c r="K14" s="81"/>
      <c r="L14" s="80" t="s">
        <v>716</v>
      </c>
      <c r="M14" s="9" t="s">
        <v>170</v>
      </c>
      <c r="N14" s="9" t="s">
        <v>142</v>
      </c>
      <c r="O14" s="10"/>
      <c r="T14" s="10">
        <v>44018</v>
      </c>
      <c r="U14" s="30">
        <v>-3</v>
      </c>
      <c r="V14" s="1" t="s">
        <v>553</v>
      </c>
      <c r="W14" s="1">
        <v>45</v>
      </c>
      <c r="X14" s="1">
        <v>55</v>
      </c>
      <c r="Y14" s="1">
        <v>60</v>
      </c>
      <c r="Z14" s="1">
        <v>65</v>
      </c>
      <c r="AA14" s="1">
        <v>65</v>
      </c>
      <c r="AB14" s="1">
        <v>70</v>
      </c>
      <c r="AC14" s="1">
        <v>60</v>
      </c>
      <c r="AD14" s="1">
        <v>35</v>
      </c>
      <c r="AE14" s="1">
        <v>45</v>
      </c>
      <c r="AF14" s="1">
        <v>55</v>
      </c>
      <c r="AG14" s="1">
        <v>65</v>
      </c>
      <c r="AH14" s="1">
        <v>65</v>
      </c>
      <c r="AI14" s="1">
        <v>65</v>
      </c>
      <c r="AJ14" s="1">
        <v>75</v>
      </c>
      <c r="AK14" s="1">
        <v>90</v>
      </c>
      <c r="AS14" s="33">
        <v>62.5</v>
      </c>
      <c r="AT14" s="33">
        <v>70</v>
      </c>
      <c r="AU14" s="33">
        <v>45</v>
      </c>
      <c r="AV14" s="33">
        <v>65</v>
      </c>
      <c r="AW14" s="33">
        <v>76.666666666666671</v>
      </c>
      <c r="AX14" s="33">
        <v>62.5</v>
      </c>
      <c r="AY14" s="1">
        <v>3</v>
      </c>
      <c r="AZ14" s="33">
        <v>3</v>
      </c>
      <c r="BA14" s="1">
        <v>65</v>
      </c>
      <c r="BB14" s="1">
        <v>60</v>
      </c>
      <c r="BC14" s="1">
        <v>20</v>
      </c>
      <c r="BD14" s="1">
        <v>30</v>
      </c>
      <c r="BE14" s="1">
        <v>35</v>
      </c>
      <c r="BF14" s="1">
        <v>40</v>
      </c>
      <c r="BG14" s="1">
        <v>45</v>
      </c>
      <c r="BH14" s="1">
        <v>40</v>
      </c>
      <c r="BI14" s="33">
        <v>35</v>
      </c>
      <c r="BJ14" s="1">
        <v>25</v>
      </c>
      <c r="BK14" s="1">
        <v>20</v>
      </c>
      <c r="BL14" s="1">
        <v>30</v>
      </c>
      <c r="BM14" s="1">
        <v>35</v>
      </c>
      <c r="BN14" s="1">
        <v>40</v>
      </c>
      <c r="BO14" s="1">
        <v>45</v>
      </c>
      <c r="BP14" s="1">
        <v>40</v>
      </c>
      <c r="BQ14" s="1">
        <v>55</v>
      </c>
      <c r="BY14" s="33">
        <v>35</v>
      </c>
      <c r="BZ14" s="33">
        <v>40</v>
      </c>
      <c r="CA14" s="33">
        <v>25</v>
      </c>
      <c r="CB14" s="33">
        <v>37.5</v>
      </c>
      <c r="CC14" s="33">
        <v>46.666666666666664</v>
      </c>
      <c r="CD14" s="33">
        <v>37.5</v>
      </c>
      <c r="CE14" s="1">
        <v>3</v>
      </c>
      <c r="CF14" s="33">
        <v>1</v>
      </c>
      <c r="CG14" s="1">
        <v>45</v>
      </c>
      <c r="CH14" s="1">
        <v>80</v>
      </c>
      <c r="CL14" s="10">
        <v>44062</v>
      </c>
      <c r="CM14" s="30">
        <v>41</v>
      </c>
      <c r="CO14" s="1" t="s">
        <v>548</v>
      </c>
      <c r="CP14" s="1" t="s">
        <v>549</v>
      </c>
      <c r="CQ14" s="1" t="s">
        <v>543</v>
      </c>
      <c r="CR14" s="1" t="s">
        <v>543</v>
      </c>
      <c r="CS14" s="1" t="s">
        <v>544</v>
      </c>
      <c r="CT14" s="1" t="s">
        <v>544</v>
      </c>
      <c r="CU14" s="33" t="e">
        <v>#VALUE!</v>
      </c>
      <c r="CV14" s="1" t="s">
        <v>550</v>
      </c>
      <c r="CW14" s="1" t="s">
        <v>545</v>
      </c>
      <c r="CX14" s="1" t="s">
        <v>546</v>
      </c>
      <c r="CY14" s="1" t="s">
        <v>546</v>
      </c>
      <c r="CZ14" s="1" t="s">
        <v>551</v>
      </c>
      <c r="DA14" s="1" t="s">
        <v>546</v>
      </c>
      <c r="DB14" s="1" t="s">
        <v>546</v>
      </c>
      <c r="DC14" s="1" t="s">
        <v>552</v>
      </c>
      <c r="DK14" s="33" t="e">
        <v>#VALUE!</v>
      </c>
      <c r="DL14" s="33" t="e">
        <v>#DIV/0!</v>
      </c>
      <c r="DM14" s="33" t="e">
        <v>#DIV/0!</v>
      </c>
      <c r="DN14" s="33" t="e">
        <v>#DIV/0!</v>
      </c>
      <c r="DO14" s="33" t="e">
        <v>#DIV/0!</v>
      </c>
      <c r="DP14" s="33" t="e">
        <v>#DIV/0!</v>
      </c>
      <c r="DQ14" s="1">
        <v>6</v>
      </c>
      <c r="DR14" s="33" t="e">
        <v>#DIV/0!</v>
      </c>
      <c r="DS14" s="1" t="s">
        <v>373</v>
      </c>
      <c r="DT14" s="1">
        <v>0</v>
      </c>
      <c r="DU14" s="1">
        <v>45</v>
      </c>
      <c r="DV14" s="1">
        <v>45</v>
      </c>
      <c r="DW14" s="1">
        <v>45</v>
      </c>
      <c r="DX14" s="1">
        <v>50</v>
      </c>
      <c r="DY14" s="1">
        <v>50</v>
      </c>
      <c r="DZ14" s="1">
        <v>50</v>
      </c>
      <c r="EA14" s="33">
        <v>46.25</v>
      </c>
      <c r="EB14" s="1">
        <v>45</v>
      </c>
      <c r="EC14" s="1">
        <v>45</v>
      </c>
      <c r="ED14" s="1">
        <v>50</v>
      </c>
      <c r="EE14" s="1">
        <v>45</v>
      </c>
      <c r="EF14" s="1">
        <v>50</v>
      </c>
      <c r="EG14" s="1">
        <v>55</v>
      </c>
      <c r="EH14" s="1">
        <v>55</v>
      </c>
      <c r="EI14" s="1">
        <v>70</v>
      </c>
      <c r="EQ14" s="33">
        <v>47.5</v>
      </c>
      <c r="ER14" s="33">
        <v>54</v>
      </c>
      <c r="ES14" s="33">
        <v>46.666666666666664</v>
      </c>
      <c r="ET14" s="33">
        <v>47.5</v>
      </c>
      <c r="EU14" s="33">
        <v>60</v>
      </c>
      <c r="EV14" s="33">
        <v>50</v>
      </c>
      <c r="EW14" s="1">
        <v>3</v>
      </c>
      <c r="EX14" s="33">
        <v>2</v>
      </c>
      <c r="EY14" s="1">
        <v>55</v>
      </c>
      <c r="EZ14" s="1">
        <v>100</v>
      </c>
      <c r="FE14" s="30">
        <v>-44021</v>
      </c>
      <c r="FM14" s="33">
        <v>0</v>
      </c>
      <c r="GC14" s="33">
        <v>0</v>
      </c>
      <c r="GD14" s="33" t="e">
        <v>#DIV/0!</v>
      </c>
      <c r="GE14" s="33" t="e">
        <v>#DIV/0!</v>
      </c>
      <c r="GF14" s="33" t="e">
        <v>#DIV/0!</v>
      </c>
      <c r="GG14" s="33" t="e">
        <v>#DIV/0!</v>
      </c>
      <c r="GH14" s="33" t="e">
        <v>#DIV/0!</v>
      </c>
      <c r="GJ14" s="33" t="e">
        <v>#DIV/0!</v>
      </c>
      <c r="GS14" s="30">
        <v>0</v>
      </c>
      <c r="HI14" s="30">
        <v>0</v>
      </c>
      <c r="HJ14" s="30" t="e">
        <v>#DIV/0!</v>
      </c>
      <c r="HK14" s="30" t="e">
        <v>#DIV/0!</v>
      </c>
      <c r="HL14" s="30" t="e">
        <v>#DIV/0!</v>
      </c>
      <c r="HM14" s="30" t="e">
        <v>#DIV/0!</v>
      </c>
      <c r="HN14" s="30" t="e">
        <v>#DIV/0!</v>
      </c>
      <c r="HP14" s="30" t="e">
        <v>#DIV/0!</v>
      </c>
      <c r="HW14" s="30">
        <v>-44021</v>
      </c>
      <c r="IE14" s="30">
        <v>0</v>
      </c>
      <c r="IU14" s="30">
        <v>0</v>
      </c>
      <c r="IV14" s="30" t="e">
        <v>#DIV/0!</v>
      </c>
      <c r="IW14" s="30" t="e">
        <v>#DIV/0!</v>
      </c>
      <c r="IX14" s="30" t="e">
        <v>#DIV/0!</v>
      </c>
      <c r="IY14" s="30" t="e">
        <v>#DIV/0!</v>
      </c>
      <c r="IZ14" s="30" t="e">
        <v>#DIV/0!</v>
      </c>
      <c r="JB14" s="30" t="e">
        <v>#DIV/0!</v>
      </c>
      <c r="JK14" s="30">
        <v>0</v>
      </c>
      <c r="KA14" s="30">
        <v>0</v>
      </c>
      <c r="KB14" s="30" t="e">
        <v>#DIV/0!</v>
      </c>
      <c r="KC14" s="30" t="e">
        <v>#DIV/0!</v>
      </c>
      <c r="KD14" s="30" t="e">
        <v>#DIV/0!</v>
      </c>
      <c r="KE14" s="30" t="e">
        <v>#DIV/0!</v>
      </c>
      <c r="KF14" s="30" t="e">
        <v>#DIV/0!</v>
      </c>
      <c r="KH14" s="30" t="e">
        <v>#DIV/0!</v>
      </c>
    </row>
    <row r="15" spans="1:299" s="1" customFormat="1" ht="82.5">
      <c r="A15" s="8" t="s">
        <v>605</v>
      </c>
      <c r="B15" s="1">
        <v>44</v>
      </c>
      <c r="C15" s="20">
        <v>40</v>
      </c>
      <c r="D15" s="1">
        <v>1</v>
      </c>
      <c r="E15" s="1" t="s">
        <v>591</v>
      </c>
      <c r="F15" s="1">
        <v>21123</v>
      </c>
      <c r="G15" s="12" t="s">
        <v>79</v>
      </c>
      <c r="H15" s="12" t="s">
        <v>77</v>
      </c>
      <c r="I15" s="12" t="s">
        <v>22</v>
      </c>
      <c r="J15" s="10">
        <v>44770</v>
      </c>
      <c r="K15" s="10" t="s">
        <v>668</v>
      </c>
      <c r="L15" s="79" t="s">
        <v>717</v>
      </c>
      <c r="M15" s="14" t="s">
        <v>189</v>
      </c>
      <c r="N15" s="14" t="s">
        <v>188</v>
      </c>
      <c r="T15" s="10">
        <v>44769</v>
      </c>
      <c r="U15" s="30">
        <v>-1</v>
      </c>
      <c r="V15" s="1" t="s">
        <v>564</v>
      </c>
      <c r="W15" s="1">
        <v>20</v>
      </c>
      <c r="X15" s="1">
        <v>20</v>
      </c>
      <c r="Y15" s="1">
        <v>20</v>
      </c>
      <c r="Z15" s="1">
        <v>20</v>
      </c>
      <c r="AA15" s="1">
        <v>25</v>
      </c>
      <c r="AB15" s="1">
        <v>30</v>
      </c>
      <c r="AC15" s="1">
        <v>20</v>
      </c>
      <c r="AD15" s="1">
        <v>25</v>
      </c>
      <c r="AE15" s="1">
        <v>25</v>
      </c>
      <c r="AF15" s="1">
        <v>20</v>
      </c>
      <c r="AG15" s="1">
        <v>25</v>
      </c>
      <c r="AH15" s="1">
        <v>20</v>
      </c>
      <c r="AI15" s="1">
        <v>25</v>
      </c>
      <c r="AJ15" s="1">
        <v>35</v>
      </c>
      <c r="AK15" s="1">
        <v>15</v>
      </c>
      <c r="AS15" s="33">
        <v>22.5</v>
      </c>
      <c r="AT15" s="33">
        <v>23</v>
      </c>
      <c r="AU15" s="33">
        <v>23.333333333333332</v>
      </c>
      <c r="AV15" s="33">
        <v>22.5</v>
      </c>
      <c r="AW15" s="33">
        <v>25</v>
      </c>
      <c r="AX15" s="33">
        <v>22.5</v>
      </c>
      <c r="AY15" s="1">
        <v>4</v>
      </c>
      <c r="AZ15" s="33">
        <v>1</v>
      </c>
      <c r="BA15" s="1">
        <v>30</v>
      </c>
      <c r="BB15" s="1">
        <v>100</v>
      </c>
      <c r="BC15" s="1">
        <v>20</v>
      </c>
      <c r="BD15" s="1">
        <v>25</v>
      </c>
      <c r="BE15" s="1">
        <v>20</v>
      </c>
      <c r="BF15" s="1">
        <v>20</v>
      </c>
      <c r="BG15" s="1">
        <v>25</v>
      </c>
      <c r="BH15" s="1">
        <v>15</v>
      </c>
      <c r="BI15" s="33">
        <v>21.25</v>
      </c>
      <c r="BJ15" s="1">
        <v>20</v>
      </c>
      <c r="BK15" s="1">
        <v>20</v>
      </c>
      <c r="BL15" s="1">
        <v>25</v>
      </c>
      <c r="BM15" s="1">
        <v>35</v>
      </c>
      <c r="BN15" s="1">
        <v>20</v>
      </c>
      <c r="BO15" s="1">
        <v>25</v>
      </c>
      <c r="BP15" s="1">
        <v>30</v>
      </c>
      <c r="BQ15" s="1">
        <v>35</v>
      </c>
      <c r="BY15" s="33">
        <v>28.75</v>
      </c>
      <c r="BZ15" s="33">
        <v>29</v>
      </c>
      <c r="CA15" s="33">
        <v>21.666666666666668</v>
      </c>
      <c r="CB15" s="33">
        <v>27.5</v>
      </c>
      <c r="CC15" s="33">
        <v>30</v>
      </c>
      <c r="CD15" s="33">
        <v>26.25</v>
      </c>
      <c r="CE15" s="1">
        <v>4</v>
      </c>
      <c r="CF15" s="33">
        <v>1</v>
      </c>
      <c r="CG15" s="1">
        <v>35</v>
      </c>
      <c r="CH15" s="1">
        <v>100</v>
      </c>
      <c r="CK15" s="22"/>
      <c r="CL15" s="10">
        <v>44867</v>
      </c>
      <c r="CM15" s="30">
        <v>97</v>
      </c>
      <c r="CO15" s="1">
        <v>15</v>
      </c>
      <c r="CP15" s="1">
        <v>10</v>
      </c>
      <c r="CQ15" s="1">
        <v>5</v>
      </c>
      <c r="CR15" s="1">
        <v>20</v>
      </c>
      <c r="CS15" s="1">
        <v>30</v>
      </c>
      <c r="CT15" s="1">
        <v>25</v>
      </c>
      <c r="CU15" s="33">
        <v>10</v>
      </c>
      <c r="CV15" s="1">
        <v>35</v>
      </c>
      <c r="CW15" s="1">
        <v>25</v>
      </c>
      <c r="CX15" s="1">
        <v>10</v>
      </c>
      <c r="CY15" s="1">
        <v>15</v>
      </c>
      <c r="CZ15" s="1">
        <v>20</v>
      </c>
      <c r="DA15" s="1">
        <v>30</v>
      </c>
      <c r="DB15" s="1">
        <v>40</v>
      </c>
      <c r="DC15" s="1">
        <v>25</v>
      </c>
      <c r="DK15" s="33">
        <v>15</v>
      </c>
      <c r="DL15" s="33">
        <v>22</v>
      </c>
      <c r="DM15" s="33">
        <v>23.333333333333332</v>
      </c>
      <c r="DN15" s="33">
        <v>17.5</v>
      </c>
      <c r="DO15" s="33">
        <v>31.666666666666668</v>
      </c>
      <c r="DP15" s="33">
        <v>18.75</v>
      </c>
      <c r="DQ15" s="1">
        <v>6</v>
      </c>
      <c r="DR15" s="33">
        <v>0</v>
      </c>
      <c r="DS15" s="1">
        <v>25</v>
      </c>
      <c r="DT15" s="1">
        <v>100</v>
      </c>
      <c r="DU15" s="1">
        <v>5</v>
      </c>
      <c r="DV15" s="1">
        <v>20</v>
      </c>
      <c r="DW15" s="1">
        <v>15</v>
      </c>
      <c r="DX15" s="1">
        <v>15</v>
      </c>
      <c r="DY15" s="1">
        <v>20</v>
      </c>
      <c r="DZ15" s="1">
        <v>10</v>
      </c>
      <c r="EA15" s="33">
        <v>16.25</v>
      </c>
      <c r="EB15" s="1">
        <v>45</v>
      </c>
      <c r="EC15" s="1">
        <v>40</v>
      </c>
      <c r="ED15" s="1">
        <v>40</v>
      </c>
      <c r="EE15" s="1">
        <v>40</v>
      </c>
      <c r="EF15" s="1">
        <v>30</v>
      </c>
      <c r="EG15" s="1">
        <v>20</v>
      </c>
      <c r="EH15" s="1">
        <v>25</v>
      </c>
      <c r="EI15" s="1">
        <v>30</v>
      </c>
      <c r="EQ15" s="33">
        <v>37.5</v>
      </c>
      <c r="ER15" s="33">
        <v>33</v>
      </c>
      <c r="ES15" s="33">
        <v>41.666666666666664</v>
      </c>
      <c r="ET15" s="33">
        <v>35</v>
      </c>
      <c r="EU15" s="33">
        <v>25</v>
      </c>
      <c r="EV15" s="33">
        <v>32.5</v>
      </c>
      <c r="EW15" s="1">
        <v>6</v>
      </c>
      <c r="EX15" s="33">
        <v>1</v>
      </c>
      <c r="EY15" s="1">
        <v>40</v>
      </c>
      <c r="EZ15" s="1">
        <v>100</v>
      </c>
      <c r="FC15" s="22"/>
      <c r="FD15" s="10">
        <v>44958</v>
      </c>
      <c r="FE15" s="30">
        <v>188</v>
      </c>
      <c r="FG15" s="1">
        <v>5</v>
      </c>
      <c r="FH15" s="1">
        <v>5</v>
      </c>
      <c r="FI15" s="1">
        <v>5</v>
      </c>
      <c r="FJ15" s="1">
        <v>20</v>
      </c>
      <c r="FK15" s="1">
        <v>30</v>
      </c>
      <c r="FL15" s="1">
        <v>30</v>
      </c>
      <c r="FM15" s="33">
        <v>8.75</v>
      </c>
      <c r="FN15" s="1">
        <v>30</v>
      </c>
      <c r="FO15" s="1">
        <v>25</v>
      </c>
      <c r="FP15" s="1">
        <v>5</v>
      </c>
      <c r="FQ15" s="1">
        <v>15</v>
      </c>
      <c r="FR15" s="1">
        <v>20</v>
      </c>
      <c r="FS15" s="1">
        <v>30</v>
      </c>
      <c r="FT15" s="1">
        <v>45</v>
      </c>
      <c r="FU15" s="1">
        <v>30</v>
      </c>
      <c r="FV15" s="1">
        <v>35</v>
      </c>
      <c r="FW15" s="1">
        <v>55</v>
      </c>
      <c r="FX15" s="1">
        <v>60</v>
      </c>
      <c r="FY15" s="1" t="s">
        <v>556</v>
      </c>
      <c r="FZ15" s="1" t="s">
        <v>557</v>
      </c>
      <c r="GA15" s="1" t="s">
        <v>558</v>
      </c>
      <c r="GB15" s="21" t="s">
        <v>559</v>
      </c>
      <c r="GC15" s="33">
        <v>13.75</v>
      </c>
      <c r="GD15" s="33">
        <v>23</v>
      </c>
      <c r="GE15" s="33">
        <v>20</v>
      </c>
      <c r="GF15" s="33">
        <v>17.5</v>
      </c>
      <c r="GG15" s="33">
        <v>35</v>
      </c>
      <c r="GH15" s="33">
        <v>17.5</v>
      </c>
      <c r="GI15" s="1">
        <v>6</v>
      </c>
      <c r="GJ15" s="33">
        <v>0</v>
      </c>
      <c r="GK15" s="1">
        <v>25</v>
      </c>
      <c r="GL15" s="1">
        <v>92</v>
      </c>
      <c r="GM15" s="1">
        <v>10</v>
      </c>
      <c r="GN15" s="1">
        <v>15</v>
      </c>
      <c r="GO15" s="1">
        <v>10</v>
      </c>
      <c r="GP15" s="1">
        <v>15</v>
      </c>
      <c r="GQ15" s="1">
        <v>20</v>
      </c>
      <c r="GR15" s="1">
        <v>10</v>
      </c>
      <c r="GS15" s="30">
        <v>12.5</v>
      </c>
      <c r="GT15" s="1">
        <v>35</v>
      </c>
      <c r="GU15" s="1">
        <v>35</v>
      </c>
      <c r="GV15" s="1">
        <v>40</v>
      </c>
      <c r="GW15" s="1">
        <v>40</v>
      </c>
      <c r="GX15" s="1">
        <v>25</v>
      </c>
      <c r="GY15" s="1">
        <v>20</v>
      </c>
      <c r="GZ15" s="1">
        <v>40</v>
      </c>
      <c r="HA15" s="1">
        <v>40</v>
      </c>
      <c r="HB15" s="1">
        <v>40</v>
      </c>
      <c r="HC15" s="1">
        <v>50</v>
      </c>
      <c r="HD15" s="1">
        <v>65</v>
      </c>
      <c r="HE15" s="1" t="s">
        <v>556</v>
      </c>
      <c r="HF15" s="1" t="s">
        <v>560</v>
      </c>
      <c r="HG15" s="1" t="s">
        <v>561</v>
      </c>
      <c r="HH15" s="21" t="s">
        <v>559</v>
      </c>
      <c r="HI15" s="30">
        <v>36.25</v>
      </c>
      <c r="HJ15" s="30">
        <v>37</v>
      </c>
      <c r="HK15" s="30">
        <v>36.666666666666664</v>
      </c>
      <c r="HL15" s="30">
        <v>32.5</v>
      </c>
      <c r="HM15" s="30">
        <v>33.333333333333336</v>
      </c>
      <c r="HN15" s="30">
        <v>31.25</v>
      </c>
      <c r="HO15" s="1">
        <v>6</v>
      </c>
      <c r="HP15" s="30">
        <v>1</v>
      </c>
      <c r="HQ15" s="1">
        <v>35</v>
      </c>
      <c r="HR15" s="1">
        <v>100</v>
      </c>
      <c r="HU15" s="22"/>
      <c r="HV15" s="10">
        <v>45139</v>
      </c>
      <c r="HW15" s="30">
        <v>369</v>
      </c>
      <c r="HY15" s="1">
        <v>10</v>
      </c>
      <c r="HZ15" s="1">
        <v>15</v>
      </c>
      <c r="IA15" s="1">
        <v>10</v>
      </c>
      <c r="IB15" s="1">
        <v>25</v>
      </c>
      <c r="IC15" s="1">
        <v>30</v>
      </c>
      <c r="ID15" s="1">
        <v>25</v>
      </c>
      <c r="IE15" s="30">
        <v>15</v>
      </c>
      <c r="IF15" s="1">
        <v>30</v>
      </c>
      <c r="IG15" s="1">
        <v>25</v>
      </c>
      <c r="IH15" s="1">
        <v>15</v>
      </c>
      <c r="II15" s="1">
        <v>20</v>
      </c>
      <c r="IJ15" s="1">
        <v>25</v>
      </c>
      <c r="IK15" s="1">
        <v>30</v>
      </c>
      <c r="IL15" s="1">
        <v>45</v>
      </c>
      <c r="IM15" s="1">
        <v>35</v>
      </c>
      <c r="IN15" s="1">
        <v>35</v>
      </c>
      <c r="IO15" s="1">
        <v>55</v>
      </c>
      <c r="IP15" s="1">
        <v>65</v>
      </c>
      <c r="IQ15" s="1" t="s">
        <v>556</v>
      </c>
      <c r="IR15" s="1" t="s">
        <v>557</v>
      </c>
      <c r="IS15" s="1" t="s">
        <v>558</v>
      </c>
      <c r="IT15" s="21" t="s">
        <v>559</v>
      </c>
      <c r="IU15" s="30">
        <v>20</v>
      </c>
      <c r="IV15" s="30">
        <v>28</v>
      </c>
      <c r="IW15" s="30">
        <v>23.333333333333332</v>
      </c>
      <c r="IX15" s="30">
        <v>22.5</v>
      </c>
      <c r="IY15" s="30">
        <v>36.666666666666664</v>
      </c>
      <c r="IZ15" s="30">
        <v>22.5</v>
      </c>
      <c r="JA15" s="1">
        <v>3</v>
      </c>
      <c r="JB15" s="30">
        <v>1</v>
      </c>
      <c r="JC15" s="1">
        <v>25</v>
      </c>
      <c r="JD15" s="1">
        <v>100</v>
      </c>
      <c r="JE15" s="1">
        <v>0</v>
      </c>
      <c r="JF15" s="1">
        <v>10</v>
      </c>
      <c r="JG15" s="1">
        <v>5</v>
      </c>
      <c r="JH15" s="1">
        <v>20</v>
      </c>
      <c r="JI15" s="1">
        <v>30</v>
      </c>
      <c r="JJ15" s="1">
        <v>15</v>
      </c>
      <c r="JK15" s="30">
        <v>10</v>
      </c>
      <c r="JL15" s="1">
        <v>20</v>
      </c>
      <c r="JM15" s="1">
        <v>15</v>
      </c>
      <c r="JN15" s="1">
        <v>20</v>
      </c>
      <c r="JO15" s="1">
        <v>25</v>
      </c>
      <c r="JP15" s="1">
        <v>20</v>
      </c>
      <c r="JQ15" s="1">
        <v>30</v>
      </c>
      <c r="JR15" s="1">
        <v>35</v>
      </c>
      <c r="JS15" s="1">
        <v>50</v>
      </c>
      <c r="JT15" s="1">
        <v>55</v>
      </c>
      <c r="JU15" s="1">
        <v>65</v>
      </c>
      <c r="JV15" s="1" t="s">
        <v>562</v>
      </c>
      <c r="JW15" s="1" t="s">
        <v>556</v>
      </c>
      <c r="JX15" s="1" t="s">
        <v>560</v>
      </c>
      <c r="JY15" s="1" t="s">
        <v>561</v>
      </c>
      <c r="JZ15" s="21" t="s">
        <v>559</v>
      </c>
      <c r="KA15" s="30">
        <v>22.5</v>
      </c>
      <c r="KB15" s="30">
        <v>30</v>
      </c>
      <c r="KC15" s="30">
        <v>18.333333333333332</v>
      </c>
      <c r="KD15" s="30">
        <v>22.5</v>
      </c>
      <c r="KE15" s="30">
        <v>38.333333333333336</v>
      </c>
      <c r="KF15" s="30">
        <v>23.75</v>
      </c>
      <c r="KG15" s="1">
        <v>3</v>
      </c>
      <c r="KH15" s="30">
        <v>1</v>
      </c>
      <c r="KI15" s="1">
        <v>25</v>
      </c>
      <c r="KJ15" s="1">
        <v>100</v>
      </c>
    </row>
    <row r="16" spans="1:299" s="1" customFormat="1" ht="82.5">
      <c r="A16" s="8" t="s">
        <v>606</v>
      </c>
      <c r="B16" s="1">
        <v>41</v>
      </c>
      <c r="C16" s="20">
        <v>40</v>
      </c>
      <c r="D16" s="1">
        <v>1</v>
      </c>
      <c r="E16" s="1" t="s">
        <v>591</v>
      </c>
      <c r="F16" s="1">
        <v>21120</v>
      </c>
      <c r="G16" s="12" t="s">
        <v>81</v>
      </c>
      <c r="H16" s="12" t="s">
        <v>80</v>
      </c>
      <c r="I16" s="12" t="s">
        <v>22</v>
      </c>
      <c r="J16" s="10">
        <v>44768</v>
      </c>
      <c r="K16" s="30" t="s">
        <v>661</v>
      </c>
      <c r="L16" s="30" t="s">
        <v>662</v>
      </c>
      <c r="M16" s="14" t="s">
        <v>161</v>
      </c>
      <c r="N16" s="1" t="s">
        <v>123</v>
      </c>
      <c r="P16" s="10">
        <v>44767</v>
      </c>
      <c r="R16" s="10">
        <v>44916</v>
      </c>
      <c r="S16" s="10">
        <v>45056</v>
      </c>
      <c r="T16" s="32">
        <v>44767</v>
      </c>
      <c r="U16" s="30">
        <v>-1</v>
      </c>
      <c r="V16" s="30" t="s">
        <v>574</v>
      </c>
      <c r="W16" s="30">
        <v>15</v>
      </c>
      <c r="X16" s="30">
        <v>15</v>
      </c>
      <c r="Y16" s="30">
        <v>5</v>
      </c>
      <c r="Z16" s="30">
        <v>25</v>
      </c>
      <c r="AA16" s="30">
        <v>30</v>
      </c>
      <c r="AB16" s="30">
        <v>20</v>
      </c>
      <c r="AC16" s="33">
        <v>12.5</v>
      </c>
      <c r="AD16" s="30">
        <v>20</v>
      </c>
      <c r="AE16" s="30">
        <v>20</v>
      </c>
      <c r="AF16" s="30">
        <v>35</v>
      </c>
      <c r="AG16" s="30">
        <v>30</v>
      </c>
      <c r="AH16" s="30">
        <v>25</v>
      </c>
      <c r="AI16" s="30">
        <v>35</v>
      </c>
      <c r="AJ16" s="30">
        <v>45</v>
      </c>
      <c r="AK16" s="30">
        <v>60</v>
      </c>
      <c r="AL16" s="30">
        <v>50</v>
      </c>
      <c r="AM16" s="30">
        <v>55</v>
      </c>
      <c r="AN16" s="47">
        <v>75</v>
      </c>
      <c r="AO16" s="47">
        <v>65</v>
      </c>
      <c r="AP16" s="47">
        <v>45</v>
      </c>
      <c r="AQ16" s="47">
        <v>20</v>
      </c>
      <c r="AR16" s="43">
        <v>0</v>
      </c>
      <c r="AS16" s="33">
        <v>30</v>
      </c>
      <c r="AT16" s="33">
        <v>39</v>
      </c>
      <c r="AU16" s="33">
        <v>25</v>
      </c>
      <c r="AV16" s="33">
        <v>27.5</v>
      </c>
      <c r="AW16" s="33">
        <v>46.666666666666664</v>
      </c>
      <c r="AX16" s="33">
        <v>31.25</v>
      </c>
      <c r="AY16" s="34">
        <v>3</v>
      </c>
      <c r="AZ16" s="33">
        <v>1</v>
      </c>
      <c r="BA16" s="30">
        <v>40</v>
      </c>
      <c r="BB16" s="30">
        <v>100</v>
      </c>
      <c r="BC16" s="30">
        <v>15</v>
      </c>
      <c r="BD16" s="30">
        <v>20</v>
      </c>
      <c r="BE16" s="30">
        <v>15</v>
      </c>
      <c r="BF16" s="30">
        <v>10</v>
      </c>
      <c r="BG16" s="30">
        <v>20</v>
      </c>
      <c r="BH16" s="30">
        <v>10</v>
      </c>
      <c r="BI16" s="33">
        <v>15</v>
      </c>
      <c r="BJ16" s="30">
        <v>10</v>
      </c>
      <c r="BK16" s="30">
        <v>15</v>
      </c>
      <c r="BL16" s="30">
        <v>20</v>
      </c>
      <c r="BM16" s="30">
        <v>15</v>
      </c>
      <c r="BN16" s="30">
        <v>10</v>
      </c>
      <c r="BO16" s="30">
        <v>20</v>
      </c>
      <c r="BP16" s="30">
        <v>10</v>
      </c>
      <c r="BQ16" s="30">
        <v>25</v>
      </c>
      <c r="BR16" s="30">
        <v>25</v>
      </c>
      <c r="BS16" s="30">
        <v>35</v>
      </c>
      <c r="BT16" s="30">
        <v>55</v>
      </c>
      <c r="BU16" s="47">
        <v>65</v>
      </c>
      <c r="BV16" s="47">
        <v>45</v>
      </c>
      <c r="BW16" s="47">
        <v>20</v>
      </c>
      <c r="BX16" s="43">
        <v>0</v>
      </c>
      <c r="BY16" s="33">
        <v>15</v>
      </c>
      <c r="BZ16" s="33">
        <v>16</v>
      </c>
      <c r="CA16" s="33">
        <v>15</v>
      </c>
      <c r="CB16" s="33">
        <v>12.5</v>
      </c>
      <c r="CC16" s="33">
        <v>18.333333333333332</v>
      </c>
      <c r="CD16" s="33">
        <v>16.25</v>
      </c>
      <c r="CE16" s="30">
        <v>3</v>
      </c>
      <c r="CF16" s="33">
        <v>0</v>
      </c>
      <c r="CG16" s="30">
        <v>20</v>
      </c>
      <c r="CH16" s="30">
        <v>100</v>
      </c>
      <c r="CI16" s="31" t="s">
        <v>322</v>
      </c>
      <c r="CJ16" s="31" t="s">
        <v>323</v>
      </c>
      <c r="CK16" s="30"/>
      <c r="CL16" s="32">
        <v>44916</v>
      </c>
      <c r="CM16" s="30">
        <v>148</v>
      </c>
      <c r="CN16" s="30"/>
      <c r="CO16" s="30">
        <v>20</v>
      </c>
      <c r="CP16" s="30">
        <v>25</v>
      </c>
      <c r="CQ16" s="30">
        <v>10</v>
      </c>
      <c r="CR16" s="30">
        <v>20</v>
      </c>
      <c r="CS16" s="30">
        <v>30</v>
      </c>
      <c r="CT16" s="30">
        <v>25</v>
      </c>
      <c r="CU16" s="33">
        <v>16.25</v>
      </c>
      <c r="CV16" s="30">
        <v>45</v>
      </c>
      <c r="CW16" s="30">
        <v>45</v>
      </c>
      <c r="CX16" s="30">
        <v>55</v>
      </c>
      <c r="CY16" s="30">
        <v>40</v>
      </c>
      <c r="CZ16" s="30">
        <v>45</v>
      </c>
      <c r="DA16" s="30">
        <v>45</v>
      </c>
      <c r="DB16" s="30">
        <v>60</v>
      </c>
      <c r="DC16" s="30">
        <v>50</v>
      </c>
      <c r="DD16" s="30"/>
      <c r="DE16" s="30"/>
      <c r="DF16" s="30"/>
      <c r="DG16" s="30"/>
      <c r="DH16" s="30"/>
      <c r="DI16" s="30"/>
      <c r="DJ16" s="30"/>
      <c r="DK16" s="33">
        <v>45</v>
      </c>
      <c r="DL16" s="33">
        <v>50</v>
      </c>
      <c r="DM16" s="33">
        <v>48.333333333333336</v>
      </c>
      <c r="DN16" s="33">
        <v>42.5</v>
      </c>
      <c r="DO16" s="33">
        <v>51.666666666666664</v>
      </c>
      <c r="DP16" s="33">
        <v>46.25</v>
      </c>
      <c r="DQ16" s="30">
        <v>4</v>
      </c>
      <c r="DR16" s="33">
        <v>2</v>
      </c>
      <c r="DS16" s="30">
        <v>50</v>
      </c>
      <c r="DT16" s="30">
        <v>92</v>
      </c>
      <c r="DU16" s="30">
        <v>15</v>
      </c>
      <c r="DV16" s="30">
        <v>10</v>
      </c>
      <c r="DW16" s="30">
        <v>15</v>
      </c>
      <c r="DX16" s="30">
        <v>15</v>
      </c>
      <c r="DY16" s="30">
        <v>20</v>
      </c>
      <c r="DZ16" s="30">
        <v>20</v>
      </c>
      <c r="EA16" s="33">
        <v>13.75</v>
      </c>
      <c r="EB16" s="30">
        <v>20</v>
      </c>
      <c r="EC16" s="30">
        <v>15</v>
      </c>
      <c r="ED16" s="30">
        <v>10</v>
      </c>
      <c r="EE16" s="30">
        <v>15</v>
      </c>
      <c r="EF16" s="30">
        <v>15</v>
      </c>
      <c r="EG16" s="30">
        <v>20</v>
      </c>
      <c r="EH16" s="30">
        <v>25</v>
      </c>
      <c r="EI16" s="30">
        <v>25</v>
      </c>
      <c r="EJ16" s="30" t="s">
        <v>277</v>
      </c>
      <c r="EK16" s="30" t="s">
        <v>277</v>
      </c>
      <c r="EL16" s="30" t="s">
        <v>277</v>
      </c>
      <c r="EM16" s="30" t="s">
        <v>277</v>
      </c>
      <c r="EN16" s="30" t="s">
        <v>277</v>
      </c>
      <c r="EO16" s="30" t="s">
        <v>277</v>
      </c>
      <c r="EP16" s="30" t="s">
        <v>277</v>
      </c>
      <c r="EQ16" s="33">
        <v>13.75</v>
      </c>
      <c r="ER16" s="33">
        <v>18</v>
      </c>
      <c r="ES16" s="33">
        <v>15</v>
      </c>
      <c r="ET16" s="33">
        <v>15</v>
      </c>
      <c r="EU16" s="33">
        <v>23.333333333333332</v>
      </c>
      <c r="EV16" s="33">
        <v>15</v>
      </c>
      <c r="EW16" s="30">
        <v>4</v>
      </c>
      <c r="EX16" s="33">
        <v>0</v>
      </c>
      <c r="EY16" s="30">
        <v>20</v>
      </c>
      <c r="EZ16" s="30">
        <v>100</v>
      </c>
      <c r="FA16" s="30"/>
      <c r="FB16" s="30"/>
      <c r="FC16" s="30" t="s">
        <v>324</v>
      </c>
      <c r="FD16" s="50">
        <v>44916</v>
      </c>
      <c r="FE16" s="30">
        <v>148</v>
      </c>
      <c r="FF16" s="30"/>
      <c r="FG16" s="30">
        <v>20</v>
      </c>
      <c r="FH16" s="30">
        <v>25</v>
      </c>
      <c r="FI16" s="30">
        <v>10</v>
      </c>
      <c r="FJ16" s="30">
        <v>20</v>
      </c>
      <c r="FK16" s="30">
        <v>30</v>
      </c>
      <c r="FL16" s="30">
        <v>25</v>
      </c>
      <c r="FM16" s="33">
        <v>16.25</v>
      </c>
      <c r="FN16" s="30">
        <v>45</v>
      </c>
      <c r="FO16" s="30">
        <v>45</v>
      </c>
      <c r="FP16" s="30">
        <v>55</v>
      </c>
      <c r="FQ16" s="30">
        <v>40</v>
      </c>
      <c r="FR16" s="30">
        <v>45</v>
      </c>
      <c r="FS16" s="30">
        <v>45</v>
      </c>
      <c r="FT16" s="30">
        <v>60</v>
      </c>
      <c r="FU16" s="30">
        <v>50</v>
      </c>
      <c r="FV16" s="30"/>
      <c r="FW16" s="30"/>
      <c r="FX16" s="30"/>
      <c r="FY16" s="30"/>
      <c r="FZ16" s="30"/>
      <c r="GA16" s="30"/>
      <c r="GB16" s="30"/>
      <c r="GC16" s="33">
        <v>45</v>
      </c>
      <c r="GD16" s="33">
        <v>50</v>
      </c>
      <c r="GE16" s="33">
        <v>48.333333333333336</v>
      </c>
      <c r="GF16" s="33">
        <v>42.5</v>
      </c>
      <c r="GG16" s="33">
        <v>51.666666666666664</v>
      </c>
      <c r="GH16" s="33">
        <v>46.25</v>
      </c>
      <c r="GI16" s="30">
        <v>6</v>
      </c>
      <c r="GJ16" s="33">
        <v>2</v>
      </c>
      <c r="GK16" s="30">
        <v>50</v>
      </c>
      <c r="GL16" s="30">
        <v>92</v>
      </c>
      <c r="GM16" s="30">
        <v>15</v>
      </c>
      <c r="GN16" s="30">
        <v>10</v>
      </c>
      <c r="GO16" s="30">
        <v>15</v>
      </c>
      <c r="GP16" s="30">
        <v>15</v>
      </c>
      <c r="GQ16" s="30">
        <v>20</v>
      </c>
      <c r="GR16" s="30">
        <v>20</v>
      </c>
      <c r="GS16" s="30">
        <v>13.75</v>
      </c>
      <c r="GT16" s="30">
        <v>20</v>
      </c>
      <c r="GU16" s="30">
        <v>15</v>
      </c>
      <c r="GV16" s="30">
        <v>10</v>
      </c>
      <c r="GW16" s="30">
        <v>15</v>
      </c>
      <c r="GX16" s="30">
        <v>15</v>
      </c>
      <c r="GY16" s="30">
        <v>20</v>
      </c>
      <c r="GZ16" s="30">
        <v>25</v>
      </c>
      <c r="HA16" s="30">
        <v>25</v>
      </c>
      <c r="HB16" s="30"/>
      <c r="HC16" s="30"/>
      <c r="HD16" s="30"/>
      <c r="HE16" s="30"/>
      <c r="HF16" s="30"/>
      <c r="HG16" s="30"/>
      <c r="HH16" s="30"/>
      <c r="HI16" s="30">
        <v>13.75</v>
      </c>
      <c r="HJ16" s="30">
        <v>18</v>
      </c>
      <c r="HK16" s="30">
        <v>15</v>
      </c>
      <c r="HL16" s="30">
        <v>15</v>
      </c>
      <c r="HM16" s="30">
        <v>23.333333333333332</v>
      </c>
      <c r="HN16" s="30">
        <v>15</v>
      </c>
      <c r="HO16" s="30">
        <v>4</v>
      </c>
      <c r="HP16" s="30">
        <v>0</v>
      </c>
      <c r="HQ16" s="30">
        <v>20</v>
      </c>
      <c r="HR16" s="30">
        <v>100</v>
      </c>
      <c r="HS16" s="30"/>
      <c r="HT16" s="30"/>
      <c r="HU16" s="30"/>
      <c r="HV16" s="50">
        <v>45623</v>
      </c>
      <c r="HW16" s="30">
        <v>855</v>
      </c>
      <c r="HX16" s="30"/>
      <c r="HY16" s="30">
        <v>15</v>
      </c>
      <c r="HZ16" s="30">
        <v>20</v>
      </c>
      <c r="IA16" s="30">
        <v>10</v>
      </c>
      <c r="IB16" s="30">
        <v>10</v>
      </c>
      <c r="IC16" s="30">
        <v>20</v>
      </c>
      <c r="ID16" s="30">
        <v>20</v>
      </c>
      <c r="IE16" s="30">
        <v>12.5</v>
      </c>
      <c r="IF16" s="30">
        <v>15</v>
      </c>
      <c r="IG16" s="30">
        <v>20</v>
      </c>
      <c r="IH16" s="30">
        <v>20</v>
      </c>
      <c r="II16" s="30">
        <v>15</v>
      </c>
      <c r="IJ16" s="30">
        <v>10</v>
      </c>
      <c r="IK16" s="30">
        <v>20</v>
      </c>
      <c r="IL16" s="30">
        <v>40</v>
      </c>
      <c r="IM16" s="30">
        <v>40</v>
      </c>
      <c r="IN16" s="30"/>
      <c r="IO16" s="30"/>
      <c r="IP16" s="30"/>
      <c r="IQ16" s="30"/>
      <c r="IR16" s="30"/>
      <c r="IS16" s="30"/>
      <c r="IT16" s="30"/>
      <c r="IU16" s="30">
        <v>15</v>
      </c>
      <c r="IV16" s="30">
        <v>25</v>
      </c>
      <c r="IW16" s="30">
        <v>18.333333333333332</v>
      </c>
      <c r="IX16" s="30">
        <v>12.5</v>
      </c>
      <c r="IY16" s="30">
        <v>33.333333333333336</v>
      </c>
      <c r="IZ16" s="30">
        <v>16.25</v>
      </c>
      <c r="JA16" s="30">
        <v>6</v>
      </c>
      <c r="JB16" s="30">
        <v>0</v>
      </c>
      <c r="JC16" s="30">
        <v>20</v>
      </c>
      <c r="JD16" s="30">
        <v>100</v>
      </c>
      <c r="JE16" s="30">
        <v>15</v>
      </c>
      <c r="JF16" s="30">
        <v>15</v>
      </c>
      <c r="JG16" s="30">
        <v>15</v>
      </c>
      <c r="JH16" s="30">
        <v>5</v>
      </c>
      <c r="JI16" s="30">
        <v>15</v>
      </c>
      <c r="JJ16" s="30">
        <v>20</v>
      </c>
      <c r="JK16" s="30">
        <v>12.5</v>
      </c>
      <c r="JL16" s="30">
        <v>15</v>
      </c>
      <c r="JM16" s="30">
        <v>15</v>
      </c>
      <c r="JN16" s="30">
        <v>15</v>
      </c>
      <c r="JO16" s="30">
        <v>15</v>
      </c>
      <c r="JP16" s="30">
        <v>5</v>
      </c>
      <c r="JQ16" s="30">
        <v>15</v>
      </c>
      <c r="JR16" s="30">
        <v>20</v>
      </c>
      <c r="JS16" s="30">
        <v>20</v>
      </c>
      <c r="JT16" s="30" t="s">
        <v>277</v>
      </c>
      <c r="JU16" s="30" t="s">
        <v>277</v>
      </c>
      <c r="JV16" s="30" t="s">
        <v>277</v>
      </c>
      <c r="JW16" s="30" t="s">
        <v>277</v>
      </c>
      <c r="JX16" s="30" t="s">
        <v>277</v>
      </c>
      <c r="JY16" s="30" t="s">
        <v>277</v>
      </c>
      <c r="JZ16" s="30" t="s">
        <v>277</v>
      </c>
      <c r="KA16" s="30">
        <v>12.5</v>
      </c>
      <c r="KB16" s="30">
        <v>15</v>
      </c>
      <c r="KC16" s="30">
        <v>15</v>
      </c>
      <c r="KD16" s="30">
        <v>10</v>
      </c>
      <c r="KE16" s="30">
        <v>18.333333333333332</v>
      </c>
      <c r="KF16" s="30">
        <v>12.5</v>
      </c>
      <c r="KG16" s="30">
        <v>4</v>
      </c>
      <c r="KH16" s="30">
        <v>0</v>
      </c>
      <c r="KI16" s="1">
        <v>15</v>
      </c>
      <c r="KJ16" s="1">
        <v>100</v>
      </c>
    </row>
    <row r="17" spans="1:299" s="1" customFormat="1">
      <c r="A17" s="8" t="s">
        <v>607</v>
      </c>
      <c r="B17" s="1">
        <v>64</v>
      </c>
      <c r="C17" s="20">
        <v>60</v>
      </c>
      <c r="D17" s="1">
        <v>1</v>
      </c>
      <c r="E17" s="1" t="s">
        <v>590</v>
      </c>
      <c r="F17" s="1">
        <v>21127</v>
      </c>
      <c r="G17" s="1" t="s">
        <v>26</v>
      </c>
      <c r="H17" s="1" t="s">
        <v>27</v>
      </c>
      <c r="I17" s="1" t="s">
        <v>22</v>
      </c>
      <c r="J17" s="10">
        <v>45141</v>
      </c>
      <c r="K17" s="30" t="s">
        <v>664</v>
      </c>
      <c r="L17" s="30" t="s">
        <v>672</v>
      </c>
      <c r="M17" s="1" t="s">
        <v>142</v>
      </c>
      <c r="N17" s="1" t="s">
        <v>95</v>
      </c>
      <c r="O17" s="1">
        <v>0</v>
      </c>
      <c r="T17" s="35">
        <v>45140</v>
      </c>
      <c r="U17" s="30">
        <v>-1</v>
      </c>
      <c r="V17" s="30" t="s">
        <v>570</v>
      </c>
      <c r="W17" s="30">
        <v>10</v>
      </c>
      <c r="X17" s="30">
        <v>30</v>
      </c>
      <c r="Y17" s="30">
        <v>45</v>
      </c>
      <c r="Z17" s="30">
        <v>50</v>
      </c>
      <c r="AA17" s="30">
        <v>70</v>
      </c>
      <c r="AB17" s="30">
        <v>75</v>
      </c>
      <c r="AC17" s="33">
        <v>42.5</v>
      </c>
      <c r="AD17" s="30">
        <v>15</v>
      </c>
      <c r="AE17" s="30">
        <v>10</v>
      </c>
      <c r="AF17" s="30">
        <v>30</v>
      </c>
      <c r="AG17" s="30">
        <v>45</v>
      </c>
      <c r="AH17" s="30">
        <v>50</v>
      </c>
      <c r="AI17" s="30">
        <v>80</v>
      </c>
      <c r="AJ17" s="30">
        <v>90</v>
      </c>
      <c r="AK17" s="30">
        <v>105</v>
      </c>
      <c r="AL17" s="31" t="s">
        <v>234</v>
      </c>
      <c r="AM17" s="31" t="s">
        <v>234</v>
      </c>
      <c r="AN17" s="31" t="s">
        <v>234</v>
      </c>
      <c r="AO17" s="31" t="s">
        <v>234</v>
      </c>
      <c r="AP17" s="31" t="s">
        <v>234</v>
      </c>
      <c r="AQ17" s="31" t="s">
        <v>234</v>
      </c>
      <c r="AR17" s="31" t="s">
        <v>234</v>
      </c>
      <c r="AS17" s="33">
        <v>42.5</v>
      </c>
      <c r="AT17" s="33">
        <v>64</v>
      </c>
      <c r="AU17" s="33">
        <v>18.333333333333332</v>
      </c>
      <c r="AV17" s="33">
        <v>47.5</v>
      </c>
      <c r="AW17" s="33">
        <v>91.666666666666671</v>
      </c>
      <c r="AX17" s="33">
        <v>51.25</v>
      </c>
      <c r="AY17" s="34">
        <v>3</v>
      </c>
      <c r="AZ17" s="33">
        <v>2</v>
      </c>
      <c r="BA17" s="30">
        <v>45</v>
      </c>
      <c r="BB17" s="30">
        <v>88</v>
      </c>
      <c r="BC17" s="30">
        <v>30</v>
      </c>
      <c r="BD17" s="30">
        <v>60</v>
      </c>
      <c r="BE17" s="30">
        <v>70</v>
      </c>
      <c r="BF17" s="30">
        <v>70</v>
      </c>
      <c r="BG17" s="30">
        <v>55</v>
      </c>
      <c r="BH17" s="30">
        <v>55</v>
      </c>
      <c r="BI17" s="33">
        <v>67.5</v>
      </c>
      <c r="BJ17" s="30">
        <v>60</v>
      </c>
      <c r="BK17" s="30">
        <v>60</v>
      </c>
      <c r="BL17" s="30">
        <v>80</v>
      </c>
      <c r="BM17" s="30">
        <v>90</v>
      </c>
      <c r="BN17" s="30">
        <v>70</v>
      </c>
      <c r="BO17" s="30">
        <v>75</v>
      </c>
      <c r="BP17" s="30">
        <v>75</v>
      </c>
      <c r="BQ17" s="30">
        <v>70</v>
      </c>
      <c r="BR17" s="31" t="s">
        <v>234</v>
      </c>
      <c r="BS17" s="31" t="s">
        <v>234</v>
      </c>
      <c r="BT17" s="31" t="s">
        <v>234</v>
      </c>
      <c r="BU17" s="31" t="s">
        <v>234</v>
      </c>
      <c r="BV17" s="31" t="s">
        <v>234</v>
      </c>
      <c r="BW17" s="31" t="s">
        <v>234</v>
      </c>
      <c r="BX17" s="31" t="s">
        <v>234</v>
      </c>
      <c r="BY17" s="33">
        <v>82.5</v>
      </c>
      <c r="BZ17" s="33">
        <v>77</v>
      </c>
      <c r="CA17" s="33">
        <v>66.666666666666671</v>
      </c>
      <c r="CB17" s="33">
        <v>80</v>
      </c>
      <c r="CC17" s="33">
        <v>73.333333333333329</v>
      </c>
      <c r="CD17" s="33">
        <v>78.75</v>
      </c>
      <c r="CE17" s="30">
        <v>2</v>
      </c>
      <c r="CF17" s="33">
        <v>3</v>
      </c>
      <c r="CG17" s="30">
        <v>80</v>
      </c>
      <c r="CH17" s="30">
        <v>88</v>
      </c>
      <c r="CI17" s="30" t="s">
        <v>325</v>
      </c>
      <c r="CJ17" s="30" t="s">
        <v>326</v>
      </c>
      <c r="CK17" s="30"/>
      <c r="CL17" s="45" t="e">
        <v>#REF!</v>
      </c>
      <c r="CM17" s="30" t="e">
        <v>#REF!</v>
      </c>
      <c r="CN17" s="30"/>
      <c r="CO17" s="30"/>
      <c r="CP17" s="30"/>
      <c r="CQ17" s="30"/>
      <c r="CR17" s="30"/>
      <c r="CS17" s="30"/>
      <c r="CT17" s="30"/>
      <c r="CU17" s="33">
        <v>0</v>
      </c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3">
        <v>0</v>
      </c>
      <c r="DL17" s="33" t="e">
        <v>#DIV/0!</v>
      </c>
      <c r="DM17" s="33" t="e">
        <v>#DIV/0!</v>
      </c>
      <c r="DN17" s="33" t="e">
        <v>#DIV/0!</v>
      </c>
      <c r="DO17" s="33" t="e">
        <v>#DIV/0!</v>
      </c>
      <c r="DP17" s="33" t="e">
        <v>#DIV/0!</v>
      </c>
      <c r="DQ17" s="30" t="e">
        <v>#DIV/0!</v>
      </c>
      <c r="DR17" s="33" t="e">
        <v>#DIV/0!</v>
      </c>
      <c r="DS17" s="30"/>
      <c r="DT17" s="30"/>
      <c r="DU17" s="30"/>
      <c r="DV17" s="30"/>
      <c r="DW17" s="30"/>
      <c r="DX17" s="30"/>
      <c r="DY17" s="30"/>
      <c r="DZ17" s="30"/>
      <c r="EA17" s="33">
        <v>0</v>
      </c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3">
        <v>0</v>
      </c>
      <c r="ER17" s="33" t="e">
        <v>#DIV/0!</v>
      </c>
      <c r="ES17" s="33" t="e">
        <v>#DIV/0!</v>
      </c>
      <c r="ET17" s="33" t="e">
        <v>#DIV/0!</v>
      </c>
      <c r="EU17" s="33" t="e">
        <v>#DIV/0!</v>
      </c>
      <c r="EV17" s="33" t="e">
        <v>#DIV/0!</v>
      </c>
      <c r="EW17" s="30" t="e">
        <v>#DIV/0!</v>
      </c>
      <c r="EX17" s="33" t="e">
        <v>#DIV/0!</v>
      </c>
      <c r="EY17" s="30"/>
      <c r="EZ17" s="30"/>
      <c r="FA17" s="30"/>
      <c r="FB17" s="30"/>
      <c r="FC17" s="30"/>
      <c r="FD17" s="46"/>
      <c r="FE17" s="30">
        <v>-45141</v>
      </c>
      <c r="FF17" s="30"/>
      <c r="FG17" s="30"/>
      <c r="FH17" s="30"/>
      <c r="FI17" s="30"/>
      <c r="FJ17" s="30"/>
      <c r="FK17" s="30"/>
      <c r="FL17" s="30"/>
      <c r="FM17" s="33">
        <v>0</v>
      </c>
      <c r="FN17" s="30"/>
      <c r="FO17" s="30"/>
      <c r="FP17" s="30"/>
      <c r="FQ17" s="30"/>
      <c r="FR17" s="30"/>
      <c r="FS17" s="30"/>
      <c r="FT17" s="30"/>
      <c r="FU17" s="30"/>
      <c r="FV17" s="30" t="s">
        <v>234</v>
      </c>
      <c r="FW17" s="30" t="s">
        <v>234</v>
      </c>
      <c r="FX17" s="30" t="s">
        <v>234</v>
      </c>
      <c r="FY17" s="30" t="s">
        <v>234</v>
      </c>
      <c r="FZ17" s="30" t="s">
        <v>234</v>
      </c>
      <c r="GA17" s="30" t="s">
        <v>234</v>
      </c>
      <c r="GB17" s="30" t="s">
        <v>234</v>
      </c>
      <c r="GC17" s="33">
        <v>0</v>
      </c>
      <c r="GD17" s="33" t="e">
        <v>#DIV/0!</v>
      </c>
      <c r="GE17" s="33" t="e">
        <v>#DIV/0!</v>
      </c>
      <c r="GF17" s="33" t="e">
        <v>#DIV/0!</v>
      </c>
      <c r="GG17" s="33" t="e">
        <v>#DIV/0!</v>
      </c>
      <c r="GH17" s="33" t="e">
        <v>#DIV/0!</v>
      </c>
      <c r="GI17" s="30" t="e">
        <v>#DIV/0!</v>
      </c>
      <c r="GJ17" s="33" t="e">
        <v>#DIV/0!</v>
      </c>
      <c r="GK17" s="30"/>
      <c r="GL17" s="30"/>
      <c r="GM17" s="30"/>
      <c r="GN17" s="30"/>
      <c r="GO17" s="30"/>
      <c r="GP17" s="30"/>
      <c r="GQ17" s="30"/>
      <c r="GR17" s="30"/>
      <c r="GS17" s="30">
        <v>0</v>
      </c>
      <c r="GT17" s="30"/>
      <c r="GU17" s="30"/>
      <c r="GV17" s="30"/>
      <c r="GW17" s="30"/>
      <c r="GX17" s="30"/>
      <c r="GY17" s="30"/>
      <c r="GZ17" s="30"/>
      <c r="HA17" s="30"/>
      <c r="HB17" s="30" t="s">
        <v>277</v>
      </c>
      <c r="HC17" s="30" t="s">
        <v>277</v>
      </c>
      <c r="HD17" s="30" t="s">
        <v>277</v>
      </c>
      <c r="HE17" s="30" t="s">
        <v>277</v>
      </c>
      <c r="HF17" s="30" t="s">
        <v>277</v>
      </c>
      <c r="HG17" s="30" t="s">
        <v>277</v>
      </c>
      <c r="HH17" s="30" t="s">
        <v>277</v>
      </c>
      <c r="HI17" s="30">
        <v>0</v>
      </c>
      <c r="HJ17" s="30" t="e">
        <v>#DIV/0!</v>
      </c>
      <c r="HK17" s="30" t="e">
        <v>#DIV/0!</v>
      </c>
      <c r="HL17" s="30" t="e">
        <v>#DIV/0!</v>
      </c>
      <c r="HM17" s="30" t="e">
        <v>#DIV/0!</v>
      </c>
      <c r="HN17" s="30" t="e">
        <v>#DIV/0!</v>
      </c>
      <c r="HO17" s="30" t="e">
        <v>#DIV/0!</v>
      </c>
      <c r="HP17" s="30" t="e">
        <v>#DIV/0!</v>
      </c>
      <c r="HQ17" s="30"/>
      <c r="HR17" s="30"/>
      <c r="HS17" s="30"/>
      <c r="HT17" s="30"/>
      <c r="HU17" s="30"/>
      <c r="HV17" s="52"/>
      <c r="HW17" s="30">
        <v>-45141</v>
      </c>
      <c r="HX17" s="30"/>
      <c r="HY17" s="30"/>
      <c r="HZ17" s="30"/>
      <c r="IA17" s="30"/>
      <c r="IB17" s="30"/>
      <c r="IC17" s="30"/>
      <c r="ID17" s="30"/>
      <c r="IE17" s="30">
        <v>0</v>
      </c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>
        <v>0</v>
      </c>
      <c r="IV17" s="30" t="e">
        <v>#DIV/0!</v>
      </c>
      <c r="IW17" s="30" t="e">
        <v>#DIV/0!</v>
      </c>
      <c r="IX17" s="30" t="e">
        <v>#DIV/0!</v>
      </c>
      <c r="IY17" s="30" t="e">
        <v>#DIV/0!</v>
      </c>
      <c r="IZ17" s="30" t="e">
        <v>#DIV/0!</v>
      </c>
      <c r="JA17" s="30" t="e">
        <v>#DIV/0!</v>
      </c>
      <c r="JB17" s="30" t="e">
        <v>#DIV/0!</v>
      </c>
      <c r="JC17" s="30"/>
      <c r="JD17" s="30"/>
      <c r="JE17" s="30"/>
      <c r="JF17" s="30"/>
      <c r="JG17" s="30"/>
      <c r="JH17" s="30"/>
      <c r="JI17" s="30"/>
      <c r="JJ17" s="30"/>
      <c r="JK17" s="30">
        <v>0</v>
      </c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>
        <v>0</v>
      </c>
      <c r="KB17" s="30" t="e">
        <v>#DIV/0!</v>
      </c>
      <c r="KC17" s="30" t="e">
        <v>#DIV/0!</v>
      </c>
      <c r="KD17" s="30" t="e">
        <v>#DIV/0!</v>
      </c>
      <c r="KE17" s="30" t="e">
        <v>#DIV/0!</v>
      </c>
      <c r="KF17" s="30" t="e">
        <v>#DIV/0!</v>
      </c>
      <c r="KG17" s="30" t="e">
        <v>#DIV/0!</v>
      </c>
      <c r="KH17" s="30" t="e">
        <v>#DIV/0!</v>
      </c>
    </row>
    <row r="18" spans="1:299" s="1" customFormat="1" ht="82.5">
      <c r="A18" s="8" t="s">
        <v>608</v>
      </c>
      <c r="B18" s="1">
        <v>31</v>
      </c>
      <c r="C18" s="20">
        <v>30</v>
      </c>
      <c r="D18" s="1">
        <v>1</v>
      </c>
      <c r="E18" s="1" t="s">
        <v>591</v>
      </c>
      <c r="F18" s="1">
        <v>21122</v>
      </c>
      <c r="G18" s="12" t="s">
        <v>88</v>
      </c>
      <c r="H18" s="12" t="s">
        <v>87</v>
      </c>
      <c r="I18" s="12" t="s">
        <v>22</v>
      </c>
      <c r="J18" s="10">
        <v>44748</v>
      </c>
      <c r="K18" s="30" t="s">
        <v>661</v>
      </c>
      <c r="L18" s="30" t="s">
        <v>673</v>
      </c>
      <c r="M18" s="14" t="s">
        <v>121</v>
      </c>
      <c r="N18" s="1" t="s">
        <v>114</v>
      </c>
      <c r="T18" s="32">
        <v>44741</v>
      </c>
      <c r="U18" s="30">
        <v>-7</v>
      </c>
      <c r="V18" s="30"/>
      <c r="W18" s="30">
        <v>0</v>
      </c>
      <c r="X18" s="30">
        <v>15</v>
      </c>
      <c r="Y18" s="30">
        <v>0</v>
      </c>
      <c r="Z18" s="30">
        <v>10</v>
      </c>
      <c r="AA18" s="30">
        <v>10</v>
      </c>
      <c r="AB18" s="30">
        <v>10</v>
      </c>
      <c r="AC18" s="33">
        <v>6.25</v>
      </c>
      <c r="AD18" s="30">
        <v>20</v>
      </c>
      <c r="AE18" s="30">
        <v>20</v>
      </c>
      <c r="AF18" s="30">
        <v>25</v>
      </c>
      <c r="AG18" s="30">
        <v>25</v>
      </c>
      <c r="AH18" s="30">
        <v>10</v>
      </c>
      <c r="AI18" s="30">
        <v>10</v>
      </c>
      <c r="AJ18" s="30">
        <v>15</v>
      </c>
      <c r="AK18" s="30">
        <v>40</v>
      </c>
      <c r="AL18" s="31" t="s">
        <v>234</v>
      </c>
      <c r="AM18" s="31" t="s">
        <v>234</v>
      </c>
      <c r="AN18" s="31" t="s">
        <v>234</v>
      </c>
      <c r="AO18" s="31" t="s">
        <v>234</v>
      </c>
      <c r="AP18" s="31" t="s">
        <v>234</v>
      </c>
      <c r="AQ18" s="31" t="s">
        <v>234</v>
      </c>
      <c r="AR18" s="31" t="s">
        <v>234</v>
      </c>
      <c r="AS18" s="33">
        <v>21.25</v>
      </c>
      <c r="AT18" s="33">
        <v>23</v>
      </c>
      <c r="AU18" s="33">
        <v>21.666666666666668</v>
      </c>
      <c r="AV18" s="33">
        <v>17.5</v>
      </c>
      <c r="AW18" s="33">
        <v>21.666666666666668</v>
      </c>
      <c r="AX18" s="33">
        <v>17.5</v>
      </c>
      <c r="AY18" s="34">
        <v>3</v>
      </c>
      <c r="AZ18" s="33">
        <v>0</v>
      </c>
      <c r="BA18" s="30">
        <v>25</v>
      </c>
      <c r="BB18" s="30">
        <v>100</v>
      </c>
      <c r="BC18" s="30">
        <v>10</v>
      </c>
      <c r="BD18" s="30">
        <v>10</v>
      </c>
      <c r="BE18" s="30">
        <v>10</v>
      </c>
      <c r="BF18" s="30">
        <v>5</v>
      </c>
      <c r="BG18" s="30">
        <v>10</v>
      </c>
      <c r="BH18" s="30">
        <v>10</v>
      </c>
      <c r="BI18" s="33">
        <v>8.75</v>
      </c>
      <c r="BJ18" s="30">
        <v>10</v>
      </c>
      <c r="BK18" s="30">
        <v>10</v>
      </c>
      <c r="BL18" s="30">
        <v>10</v>
      </c>
      <c r="BM18" s="30">
        <v>10</v>
      </c>
      <c r="BN18" s="30">
        <v>5</v>
      </c>
      <c r="BO18" s="30">
        <v>10</v>
      </c>
      <c r="BP18" s="30">
        <v>10</v>
      </c>
      <c r="BQ18" s="30">
        <v>30</v>
      </c>
      <c r="BR18" s="31" t="s">
        <v>234</v>
      </c>
      <c r="BS18" s="31" t="s">
        <v>234</v>
      </c>
      <c r="BT18" s="31" t="s">
        <v>234</v>
      </c>
      <c r="BU18" s="31" t="s">
        <v>234</v>
      </c>
      <c r="BV18" s="31" t="s">
        <v>234</v>
      </c>
      <c r="BW18" s="31" t="s">
        <v>234</v>
      </c>
      <c r="BX18" s="31" t="s">
        <v>234</v>
      </c>
      <c r="BY18" s="33">
        <v>8.75</v>
      </c>
      <c r="BZ18" s="33">
        <v>13</v>
      </c>
      <c r="CA18" s="33">
        <v>10</v>
      </c>
      <c r="CB18" s="33">
        <v>7.5</v>
      </c>
      <c r="CC18" s="33">
        <v>16.666666666666668</v>
      </c>
      <c r="CD18" s="33">
        <v>8.75</v>
      </c>
      <c r="CE18" s="30">
        <v>3</v>
      </c>
      <c r="CF18" s="33">
        <v>0</v>
      </c>
      <c r="CG18" s="30">
        <v>15</v>
      </c>
      <c r="CH18" s="30">
        <v>100</v>
      </c>
      <c r="CI18" s="30" t="s">
        <v>327</v>
      </c>
      <c r="CJ18" s="31" t="s">
        <v>328</v>
      </c>
      <c r="CK18" s="30"/>
      <c r="CL18" s="32">
        <v>44867</v>
      </c>
      <c r="CM18" s="30">
        <v>119</v>
      </c>
      <c r="CN18" s="30"/>
      <c r="CO18" s="30">
        <v>5</v>
      </c>
      <c r="CP18" s="30">
        <v>15</v>
      </c>
      <c r="CQ18" s="30">
        <v>5</v>
      </c>
      <c r="CR18" s="30">
        <v>5</v>
      </c>
      <c r="CS18" s="30">
        <v>15</v>
      </c>
      <c r="CT18" s="30">
        <v>10</v>
      </c>
      <c r="CU18" s="33">
        <v>7.5</v>
      </c>
      <c r="CV18" s="30">
        <v>25</v>
      </c>
      <c r="CW18" s="30">
        <v>20</v>
      </c>
      <c r="CX18" s="30">
        <v>30</v>
      </c>
      <c r="CY18" s="30">
        <v>25</v>
      </c>
      <c r="CZ18" s="30">
        <v>15</v>
      </c>
      <c r="DA18" s="30">
        <v>15</v>
      </c>
      <c r="DB18" s="30">
        <v>25</v>
      </c>
      <c r="DC18" s="30">
        <v>25</v>
      </c>
      <c r="DD18" s="30"/>
      <c r="DE18" s="30"/>
      <c r="DF18" s="30"/>
      <c r="DG18" s="30"/>
      <c r="DH18" s="30"/>
      <c r="DI18" s="30"/>
      <c r="DJ18" s="30"/>
      <c r="DK18" s="33">
        <v>23.75</v>
      </c>
      <c r="DL18" s="33">
        <v>24</v>
      </c>
      <c r="DM18" s="33">
        <v>25</v>
      </c>
      <c r="DN18" s="33">
        <v>20</v>
      </c>
      <c r="DO18" s="33">
        <v>21.666666666666668</v>
      </c>
      <c r="DP18" s="33">
        <v>21.25</v>
      </c>
      <c r="DQ18" s="30">
        <v>4</v>
      </c>
      <c r="DR18" s="33">
        <v>1</v>
      </c>
      <c r="DS18" s="30">
        <v>30</v>
      </c>
      <c r="DT18" s="30">
        <v>100</v>
      </c>
      <c r="DU18" s="30">
        <v>15</v>
      </c>
      <c r="DV18" s="30">
        <v>10</v>
      </c>
      <c r="DW18" s="30">
        <v>15</v>
      </c>
      <c r="DX18" s="30">
        <v>5</v>
      </c>
      <c r="DY18" s="30">
        <v>10</v>
      </c>
      <c r="DZ18" s="30">
        <v>15</v>
      </c>
      <c r="EA18" s="33">
        <v>11.25</v>
      </c>
      <c r="EB18" s="30">
        <v>20</v>
      </c>
      <c r="EC18" s="30">
        <v>15</v>
      </c>
      <c r="ED18" s="30">
        <v>10</v>
      </c>
      <c r="EE18" s="30">
        <v>15</v>
      </c>
      <c r="EF18" s="30">
        <v>5</v>
      </c>
      <c r="EG18" s="30">
        <v>10</v>
      </c>
      <c r="EH18" s="30">
        <v>15</v>
      </c>
      <c r="EI18" s="30">
        <v>35</v>
      </c>
      <c r="EJ18" s="30" t="s">
        <v>277</v>
      </c>
      <c r="EK18" s="30" t="s">
        <v>277</v>
      </c>
      <c r="EL18" s="30" t="s">
        <v>277</v>
      </c>
      <c r="EM18" s="30" t="s">
        <v>277</v>
      </c>
      <c r="EN18" s="30" t="s">
        <v>277</v>
      </c>
      <c r="EO18" s="30" t="s">
        <v>277</v>
      </c>
      <c r="EP18" s="30" t="s">
        <v>277</v>
      </c>
      <c r="EQ18" s="33">
        <v>11.25</v>
      </c>
      <c r="ER18" s="33">
        <v>16</v>
      </c>
      <c r="ES18" s="33">
        <v>15</v>
      </c>
      <c r="ET18" s="33">
        <v>10</v>
      </c>
      <c r="EU18" s="33">
        <v>20</v>
      </c>
      <c r="EV18" s="33">
        <v>10</v>
      </c>
      <c r="EW18" s="30" t="s">
        <v>235</v>
      </c>
      <c r="EX18" s="33">
        <v>0</v>
      </c>
      <c r="EY18" s="30">
        <v>25</v>
      </c>
      <c r="EZ18" s="30">
        <v>100</v>
      </c>
      <c r="FA18" s="30" t="s">
        <v>329</v>
      </c>
      <c r="FB18" s="30" t="s">
        <v>330</v>
      </c>
      <c r="FC18" s="30"/>
      <c r="FD18" s="32">
        <v>44937</v>
      </c>
      <c r="FE18" s="30">
        <v>189</v>
      </c>
      <c r="FF18" s="30"/>
      <c r="FG18" s="30">
        <v>0</v>
      </c>
      <c r="FH18" s="30">
        <v>15</v>
      </c>
      <c r="FI18" s="30">
        <v>0</v>
      </c>
      <c r="FJ18" s="30">
        <v>5</v>
      </c>
      <c r="FK18" s="30">
        <v>15</v>
      </c>
      <c r="FL18" s="30">
        <v>5</v>
      </c>
      <c r="FM18" s="33">
        <v>5</v>
      </c>
      <c r="FN18" s="30">
        <v>20</v>
      </c>
      <c r="FO18" s="30">
        <v>15</v>
      </c>
      <c r="FP18" s="30">
        <v>25</v>
      </c>
      <c r="FQ18" s="30">
        <v>15</v>
      </c>
      <c r="FR18" s="30">
        <v>15</v>
      </c>
      <c r="FS18" s="30">
        <v>15</v>
      </c>
      <c r="FT18" s="30">
        <v>30</v>
      </c>
      <c r="FU18" s="30">
        <v>35</v>
      </c>
      <c r="FV18" s="30"/>
      <c r="FW18" s="30"/>
      <c r="FX18" s="30"/>
      <c r="FY18" s="30"/>
      <c r="FZ18" s="30"/>
      <c r="GA18" s="30"/>
      <c r="GB18" s="30"/>
      <c r="GC18" s="33">
        <v>17.5</v>
      </c>
      <c r="GD18" s="33">
        <v>24</v>
      </c>
      <c r="GE18" s="33">
        <v>20</v>
      </c>
      <c r="GF18" s="33">
        <v>15</v>
      </c>
      <c r="GG18" s="33">
        <v>26.666666666666668</v>
      </c>
      <c r="GH18" s="33">
        <v>17.5</v>
      </c>
      <c r="GI18" s="30">
        <v>4</v>
      </c>
      <c r="GJ18" s="33">
        <v>0</v>
      </c>
      <c r="GK18" s="30">
        <v>25</v>
      </c>
      <c r="GL18" s="30">
        <v>100</v>
      </c>
      <c r="GM18" s="30">
        <v>15</v>
      </c>
      <c r="GN18" s="30">
        <v>15</v>
      </c>
      <c r="GO18" s="30">
        <v>20</v>
      </c>
      <c r="GP18" s="30">
        <v>10</v>
      </c>
      <c r="GQ18" s="30">
        <v>15</v>
      </c>
      <c r="GR18" s="30">
        <v>10</v>
      </c>
      <c r="GS18" s="30">
        <v>16.25</v>
      </c>
      <c r="GT18" s="30">
        <v>15</v>
      </c>
      <c r="GU18" s="30">
        <v>15</v>
      </c>
      <c r="GV18" s="30">
        <v>15</v>
      </c>
      <c r="GW18" s="30">
        <v>20</v>
      </c>
      <c r="GX18" s="30">
        <v>10</v>
      </c>
      <c r="GY18" s="30">
        <v>15</v>
      </c>
      <c r="GZ18" s="30">
        <v>10</v>
      </c>
      <c r="HA18" s="30">
        <v>35</v>
      </c>
      <c r="HB18" s="30"/>
      <c r="HC18" s="30"/>
      <c r="HD18" s="30"/>
      <c r="HE18" s="30"/>
      <c r="HF18" s="30"/>
      <c r="HG18" s="30"/>
      <c r="HH18" s="30"/>
      <c r="HI18" s="30">
        <v>16.25</v>
      </c>
      <c r="HJ18" s="30">
        <v>18</v>
      </c>
      <c r="HK18" s="30">
        <v>15</v>
      </c>
      <c r="HL18" s="30">
        <v>15</v>
      </c>
      <c r="HM18" s="30">
        <v>20</v>
      </c>
      <c r="HN18" s="30">
        <v>15</v>
      </c>
      <c r="HO18" s="30">
        <v>3</v>
      </c>
      <c r="HP18" s="30">
        <v>0</v>
      </c>
      <c r="HQ18" s="30">
        <v>25</v>
      </c>
      <c r="HR18" s="30">
        <v>100</v>
      </c>
      <c r="HS18" s="30" t="s">
        <v>331</v>
      </c>
      <c r="HT18" s="30" t="s">
        <v>332</v>
      </c>
      <c r="HU18" s="30"/>
      <c r="HV18" s="32">
        <v>45119</v>
      </c>
      <c r="HW18" s="30">
        <v>371</v>
      </c>
      <c r="HX18" s="30"/>
      <c r="HY18" s="30">
        <v>5</v>
      </c>
      <c r="HZ18" s="30">
        <v>20</v>
      </c>
      <c r="IA18" s="30">
        <v>0</v>
      </c>
      <c r="IB18" s="30">
        <v>15</v>
      </c>
      <c r="IC18" s="30">
        <v>10</v>
      </c>
      <c r="ID18" s="30">
        <v>20</v>
      </c>
      <c r="IE18" s="30">
        <v>8.75</v>
      </c>
      <c r="IF18" s="30">
        <v>25</v>
      </c>
      <c r="IG18" s="30">
        <v>20</v>
      </c>
      <c r="IH18" s="30">
        <v>20</v>
      </c>
      <c r="II18" s="30">
        <v>25</v>
      </c>
      <c r="IJ18" s="30">
        <v>15</v>
      </c>
      <c r="IK18" s="30">
        <v>10</v>
      </c>
      <c r="IL18" s="30">
        <v>20</v>
      </c>
      <c r="IM18" s="30">
        <v>25</v>
      </c>
      <c r="IN18" s="30"/>
      <c r="IO18" s="30"/>
      <c r="IP18" s="30"/>
      <c r="IQ18" s="30"/>
      <c r="IR18" s="30"/>
      <c r="IS18" s="30"/>
      <c r="IT18" s="30"/>
      <c r="IU18" s="30">
        <v>21.25</v>
      </c>
      <c r="IV18" s="30">
        <v>21</v>
      </c>
      <c r="IW18" s="30">
        <v>21.666666666666668</v>
      </c>
      <c r="IX18" s="30">
        <v>20</v>
      </c>
      <c r="IY18" s="30">
        <v>18.333333333333332</v>
      </c>
      <c r="IZ18" s="30">
        <v>17.5</v>
      </c>
      <c r="JA18" s="30">
        <v>4</v>
      </c>
      <c r="JB18" s="30">
        <v>0</v>
      </c>
      <c r="JC18" s="30">
        <v>20</v>
      </c>
      <c r="JD18" s="30">
        <v>100</v>
      </c>
      <c r="JE18" s="30">
        <v>15</v>
      </c>
      <c r="JF18" s="30">
        <v>15</v>
      </c>
      <c r="JG18" s="30">
        <v>15</v>
      </c>
      <c r="JH18" s="30">
        <v>10</v>
      </c>
      <c r="JI18" s="30">
        <v>15</v>
      </c>
      <c r="JJ18" s="30">
        <v>15</v>
      </c>
      <c r="JK18" s="30">
        <v>13.75</v>
      </c>
      <c r="JL18" s="30">
        <v>15</v>
      </c>
      <c r="JM18" s="30">
        <v>15</v>
      </c>
      <c r="JN18" s="30">
        <v>15</v>
      </c>
      <c r="JO18" s="30">
        <v>15</v>
      </c>
      <c r="JP18" s="30">
        <v>10</v>
      </c>
      <c r="JQ18" s="30">
        <v>15</v>
      </c>
      <c r="JR18" s="30">
        <v>15</v>
      </c>
      <c r="JS18" s="30">
        <v>25</v>
      </c>
      <c r="JT18" s="30" t="s">
        <v>277</v>
      </c>
      <c r="JU18" s="30" t="s">
        <v>277</v>
      </c>
      <c r="JV18" s="30" t="s">
        <v>277</v>
      </c>
      <c r="JW18" s="30" t="s">
        <v>277</v>
      </c>
      <c r="JX18" s="30" t="s">
        <v>277</v>
      </c>
      <c r="JY18" s="30" t="s">
        <v>277</v>
      </c>
      <c r="JZ18" s="30" t="s">
        <v>277</v>
      </c>
      <c r="KA18" s="30">
        <v>13.75</v>
      </c>
      <c r="KB18" s="30">
        <v>16</v>
      </c>
      <c r="KC18" s="30">
        <v>15</v>
      </c>
      <c r="KD18" s="30">
        <v>12.5</v>
      </c>
      <c r="KE18" s="30">
        <v>18.333333333333332</v>
      </c>
      <c r="KF18" s="30">
        <v>13.75</v>
      </c>
      <c r="KG18" s="30">
        <v>4</v>
      </c>
      <c r="KH18" s="30">
        <v>0</v>
      </c>
      <c r="KI18" s="30">
        <v>15</v>
      </c>
      <c r="KJ18" s="30">
        <v>100</v>
      </c>
      <c r="KK18" s="30" t="s">
        <v>333</v>
      </c>
      <c r="KL18" s="30" t="s">
        <v>334</v>
      </c>
    </row>
    <row r="19" spans="1:299" s="1" customFormat="1" ht="49.5">
      <c r="A19" s="8" t="s">
        <v>609</v>
      </c>
      <c r="B19" s="1">
        <v>60</v>
      </c>
      <c r="C19" s="20">
        <v>60</v>
      </c>
      <c r="D19" s="1">
        <v>2</v>
      </c>
      <c r="E19" s="1" t="s">
        <v>588</v>
      </c>
      <c r="F19" s="1">
        <v>21124</v>
      </c>
      <c r="G19" s="12" t="s">
        <v>52</v>
      </c>
      <c r="H19" s="12" t="s">
        <v>54</v>
      </c>
      <c r="I19" s="12" t="s">
        <v>22</v>
      </c>
      <c r="J19" s="13">
        <v>44944</v>
      </c>
      <c r="K19" s="30" t="s">
        <v>674</v>
      </c>
      <c r="L19" s="30" t="s">
        <v>675</v>
      </c>
      <c r="M19" s="14" t="s">
        <v>151</v>
      </c>
      <c r="N19" s="12" t="s">
        <v>114</v>
      </c>
      <c r="O19" s="1">
        <v>0</v>
      </c>
      <c r="T19" s="10">
        <v>44902</v>
      </c>
      <c r="U19" s="30">
        <v>-42</v>
      </c>
      <c r="W19" s="1">
        <v>5</v>
      </c>
      <c r="X19" s="1">
        <v>25</v>
      </c>
      <c r="Y19" s="1">
        <v>50</v>
      </c>
      <c r="Z19" s="1">
        <v>75</v>
      </c>
      <c r="AA19" s="1">
        <v>60</v>
      </c>
      <c r="AB19" s="1">
        <v>45</v>
      </c>
      <c r="AC19" s="1">
        <v>50</v>
      </c>
      <c r="AD19" s="1">
        <v>50</v>
      </c>
      <c r="AE19" s="1">
        <v>50</v>
      </c>
      <c r="AF19" s="1">
        <v>65</v>
      </c>
      <c r="AG19" s="1">
        <v>90</v>
      </c>
      <c r="AH19" s="1">
        <v>90</v>
      </c>
      <c r="AI19" s="1">
        <v>85</v>
      </c>
      <c r="AJ19" s="1">
        <v>85</v>
      </c>
      <c r="AK19" s="1">
        <v>95</v>
      </c>
      <c r="AS19" s="33">
        <v>83.75</v>
      </c>
      <c r="AT19" s="33">
        <v>85</v>
      </c>
      <c r="AU19" s="33">
        <v>55</v>
      </c>
      <c r="AV19" s="33">
        <v>90</v>
      </c>
      <c r="AW19" s="33">
        <v>88.333333333333329</v>
      </c>
      <c r="AX19" s="33">
        <v>82.5</v>
      </c>
      <c r="AY19" s="1">
        <v>3</v>
      </c>
      <c r="AZ19" s="33">
        <v>4</v>
      </c>
      <c r="BA19" s="1">
        <v>85</v>
      </c>
      <c r="BB19" s="1">
        <v>88</v>
      </c>
      <c r="BC19" s="1">
        <v>5</v>
      </c>
      <c r="BD19" s="1">
        <v>10</v>
      </c>
      <c r="BE19" s="1">
        <v>25</v>
      </c>
      <c r="BF19" s="1">
        <v>45</v>
      </c>
      <c r="BG19" s="1">
        <v>30</v>
      </c>
      <c r="BH19" s="1">
        <v>25</v>
      </c>
      <c r="BI19" s="33">
        <v>26.25</v>
      </c>
      <c r="BJ19" s="1">
        <v>20</v>
      </c>
      <c r="BK19" s="1">
        <v>15</v>
      </c>
      <c r="BL19" s="1">
        <v>10</v>
      </c>
      <c r="BM19" s="1">
        <v>25</v>
      </c>
      <c r="BN19" s="1">
        <v>45</v>
      </c>
      <c r="BO19" s="1">
        <v>30</v>
      </c>
      <c r="BP19" s="1">
        <v>25</v>
      </c>
      <c r="BQ19" s="1">
        <v>20</v>
      </c>
      <c r="BY19" s="33">
        <v>26.25</v>
      </c>
      <c r="BZ19" s="33">
        <v>25</v>
      </c>
      <c r="CA19" s="33">
        <v>15</v>
      </c>
      <c r="CB19" s="33">
        <v>35</v>
      </c>
      <c r="CC19" s="33">
        <v>25</v>
      </c>
      <c r="CD19" s="33">
        <v>27.5</v>
      </c>
      <c r="CE19" s="1">
        <v>6</v>
      </c>
      <c r="CF19" s="33">
        <v>1</v>
      </c>
      <c r="CG19" s="1">
        <v>25</v>
      </c>
      <c r="CH19" s="1">
        <v>100</v>
      </c>
      <c r="CK19" s="22"/>
      <c r="CL19" s="10">
        <v>45034</v>
      </c>
      <c r="CM19" s="30">
        <v>90</v>
      </c>
      <c r="CO19" s="1">
        <v>5</v>
      </c>
      <c r="CP19" s="1">
        <v>40</v>
      </c>
      <c r="CQ19" s="1">
        <v>50</v>
      </c>
      <c r="CR19" s="1">
        <v>80</v>
      </c>
      <c r="CS19" s="1">
        <v>70</v>
      </c>
      <c r="CT19" s="1">
        <v>50</v>
      </c>
      <c r="CU19" s="33">
        <v>55</v>
      </c>
      <c r="CV19" s="1">
        <v>65</v>
      </c>
      <c r="CW19" s="1">
        <v>70</v>
      </c>
      <c r="CX19" s="1">
        <v>75</v>
      </c>
      <c r="CY19" s="1">
        <v>100</v>
      </c>
      <c r="CZ19" s="1">
        <v>100</v>
      </c>
      <c r="DA19" s="1">
        <v>85</v>
      </c>
      <c r="DB19" s="1">
        <v>95</v>
      </c>
      <c r="DC19" s="1" t="s">
        <v>545</v>
      </c>
      <c r="DK19" s="33">
        <v>93.75</v>
      </c>
      <c r="DL19" s="33">
        <v>92.5</v>
      </c>
      <c r="DM19" s="33">
        <v>70</v>
      </c>
      <c r="DN19" s="33">
        <v>100</v>
      </c>
      <c r="DO19" s="33">
        <v>90</v>
      </c>
      <c r="DP19" s="33">
        <v>90</v>
      </c>
      <c r="DQ19" s="1">
        <v>6</v>
      </c>
      <c r="DR19" s="33">
        <v>4</v>
      </c>
      <c r="DS19" s="1">
        <v>90</v>
      </c>
      <c r="DT19" s="1">
        <v>16</v>
      </c>
      <c r="DU19" s="1">
        <v>10</v>
      </c>
      <c r="DV19" s="1">
        <v>5</v>
      </c>
      <c r="DW19" s="1">
        <v>25</v>
      </c>
      <c r="DX19" s="1">
        <v>35</v>
      </c>
      <c r="DY19" s="1">
        <v>20</v>
      </c>
      <c r="DZ19" s="1">
        <v>20</v>
      </c>
      <c r="EA19" s="33">
        <v>22.5</v>
      </c>
      <c r="EB19" s="1">
        <v>20</v>
      </c>
      <c r="EC19" s="1">
        <v>10</v>
      </c>
      <c r="ED19" s="1">
        <v>5</v>
      </c>
      <c r="EE19" s="1">
        <v>25</v>
      </c>
      <c r="EF19" s="1">
        <v>35</v>
      </c>
      <c r="EG19" s="1">
        <v>20</v>
      </c>
      <c r="EH19" s="1">
        <v>25</v>
      </c>
      <c r="EI19" s="1">
        <v>30</v>
      </c>
      <c r="EQ19" s="33">
        <v>22.5</v>
      </c>
      <c r="ER19" s="33">
        <v>24</v>
      </c>
      <c r="ES19" s="33">
        <v>11.666666666666666</v>
      </c>
      <c r="ET19" s="33">
        <v>30</v>
      </c>
      <c r="EU19" s="33">
        <v>25</v>
      </c>
      <c r="EV19" s="33">
        <v>21.25</v>
      </c>
      <c r="EW19" s="1">
        <v>6</v>
      </c>
      <c r="EX19" s="33">
        <v>1</v>
      </c>
      <c r="EY19" s="1">
        <v>20</v>
      </c>
      <c r="EZ19" s="1">
        <v>100</v>
      </c>
      <c r="FC19" s="22"/>
      <c r="FD19" s="10">
        <v>45124</v>
      </c>
      <c r="FE19" s="30">
        <v>180</v>
      </c>
      <c r="FG19" s="1">
        <v>0</v>
      </c>
      <c r="FH19" s="1">
        <v>25</v>
      </c>
      <c r="FI19" s="1">
        <v>55</v>
      </c>
      <c r="FJ19" s="1">
        <v>80</v>
      </c>
      <c r="FK19" s="1">
        <v>70</v>
      </c>
      <c r="FL19" s="1">
        <v>55</v>
      </c>
      <c r="FM19" s="33">
        <v>53.75</v>
      </c>
      <c r="FN19" s="1">
        <v>60</v>
      </c>
      <c r="FO19" s="1">
        <v>65</v>
      </c>
      <c r="FP19" s="1">
        <v>75</v>
      </c>
      <c r="FQ19" s="1">
        <v>95</v>
      </c>
      <c r="FR19" s="1">
        <v>90</v>
      </c>
      <c r="FS19" s="1">
        <v>80</v>
      </c>
      <c r="FT19" s="1">
        <v>90</v>
      </c>
      <c r="FU19" s="1">
        <v>105</v>
      </c>
      <c r="GC19" s="33">
        <v>88.75</v>
      </c>
      <c r="GD19" s="33">
        <v>91</v>
      </c>
      <c r="GE19" s="33">
        <v>66.666666666666671</v>
      </c>
      <c r="GF19" s="33">
        <v>92.5</v>
      </c>
      <c r="GG19" s="33">
        <v>91.666666666666671</v>
      </c>
      <c r="GH19" s="33">
        <v>85</v>
      </c>
      <c r="GI19" s="1">
        <v>6</v>
      </c>
      <c r="GJ19" s="33">
        <v>4</v>
      </c>
      <c r="GK19" s="1">
        <v>85</v>
      </c>
      <c r="GL19" s="1">
        <v>52</v>
      </c>
      <c r="GM19" s="21" t="s">
        <v>187</v>
      </c>
      <c r="GN19" s="21" t="s">
        <v>187</v>
      </c>
      <c r="GO19" s="21" t="s">
        <v>187</v>
      </c>
      <c r="GP19" s="21" t="s">
        <v>187</v>
      </c>
      <c r="GQ19" s="21" t="s">
        <v>187</v>
      </c>
      <c r="GR19" s="21" t="s">
        <v>187</v>
      </c>
      <c r="GS19" s="30" t="e">
        <v>#VALUE!</v>
      </c>
      <c r="GT19" s="1">
        <v>25</v>
      </c>
      <c r="GU19" s="1">
        <v>15</v>
      </c>
      <c r="GV19" s="1">
        <v>10</v>
      </c>
      <c r="GW19" s="1">
        <v>30</v>
      </c>
      <c r="GX19" s="1">
        <v>35</v>
      </c>
      <c r="GY19" s="1">
        <v>25</v>
      </c>
      <c r="GZ19" s="1">
        <v>25</v>
      </c>
      <c r="HA19" s="1">
        <v>25</v>
      </c>
      <c r="HI19" s="30">
        <v>26.25</v>
      </c>
      <c r="HJ19" s="30">
        <v>25</v>
      </c>
      <c r="HK19" s="30">
        <v>16.666666666666668</v>
      </c>
      <c r="HL19" s="30">
        <v>32.5</v>
      </c>
      <c r="HM19" s="30">
        <v>25</v>
      </c>
      <c r="HN19" s="30">
        <v>25</v>
      </c>
      <c r="HO19" s="1">
        <v>6</v>
      </c>
      <c r="HP19" s="30">
        <v>1</v>
      </c>
      <c r="HQ19" s="1">
        <v>20</v>
      </c>
      <c r="HR19" s="1">
        <v>100</v>
      </c>
      <c r="HU19" s="22"/>
      <c r="HV19" s="10">
        <v>45308</v>
      </c>
      <c r="HW19" s="30">
        <v>364</v>
      </c>
      <c r="HY19" s="1">
        <v>15</v>
      </c>
      <c r="HZ19" s="1">
        <v>25</v>
      </c>
      <c r="IA19" s="1">
        <v>50</v>
      </c>
      <c r="IB19" s="1">
        <v>65</v>
      </c>
      <c r="IC19" s="1">
        <v>60</v>
      </c>
      <c r="ID19" s="1">
        <v>50</v>
      </c>
      <c r="IE19" s="30">
        <v>47.5</v>
      </c>
      <c r="IF19" s="1">
        <v>80</v>
      </c>
      <c r="IG19" s="1">
        <v>80</v>
      </c>
      <c r="IH19" s="1">
        <v>75</v>
      </c>
      <c r="II19" s="1">
        <v>95</v>
      </c>
      <c r="IJ19" s="1">
        <v>90</v>
      </c>
      <c r="IK19" s="1">
        <v>85</v>
      </c>
      <c r="IL19" s="1">
        <v>85</v>
      </c>
      <c r="IM19" s="1">
        <v>100</v>
      </c>
      <c r="IU19" s="30">
        <v>88.75</v>
      </c>
      <c r="IV19" s="30">
        <v>89</v>
      </c>
      <c r="IW19" s="30">
        <v>78.333333333333329</v>
      </c>
      <c r="IX19" s="30">
        <v>92.5</v>
      </c>
      <c r="IY19" s="30">
        <v>90</v>
      </c>
      <c r="IZ19" s="30">
        <v>86.25</v>
      </c>
      <c r="JA19" s="1">
        <v>6</v>
      </c>
      <c r="JB19" s="30">
        <v>4</v>
      </c>
      <c r="JC19" s="1">
        <v>90</v>
      </c>
      <c r="JD19" s="1">
        <v>40</v>
      </c>
      <c r="JE19" s="1">
        <v>10</v>
      </c>
      <c r="JF19" s="1">
        <v>10</v>
      </c>
      <c r="JG19" s="1">
        <v>25</v>
      </c>
      <c r="JH19" s="1">
        <v>35</v>
      </c>
      <c r="JI19" s="1">
        <v>25</v>
      </c>
      <c r="JJ19" s="1">
        <v>25</v>
      </c>
      <c r="JK19" s="30">
        <v>23.75</v>
      </c>
      <c r="JL19" s="1">
        <v>15</v>
      </c>
      <c r="JM19" s="1">
        <v>10</v>
      </c>
      <c r="JN19" s="1">
        <v>10</v>
      </c>
      <c r="JO19" s="1">
        <v>25</v>
      </c>
      <c r="JP19" s="1">
        <v>35</v>
      </c>
      <c r="JQ19" s="1">
        <v>25</v>
      </c>
      <c r="JR19" s="1">
        <v>25</v>
      </c>
      <c r="JS19" s="1">
        <v>20</v>
      </c>
      <c r="KA19" s="30">
        <v>23.75</v>
      </c>
      <c r="KB19" s="30">
        <v>23</v>
      </c>
      <c r="KC19" s="30">
        <v>11.666666666666666</v>
      </c>
      <c r="KD19" s="30">
        <v>30</v>
      </c>
      <c r="KE19" s="30">
        <v>23.333333333333332</v>
      </c>
      <c r="KF19" s="30">
        <v>23.75</v>
      </c>
      <c r="KG19" s="1">
        <v>6</v>
      </c>
      <c r="KH19" s="30">
        <v>1</v>
      </c>
      <c r="KI19" s="1">
        <v>25</v>
      </c>
      <c r="KJ19" s="1">
        <v>92</v>
      </c>
    </row>
    <row r="20" spans="1:299" s="1" customFormat="1" ht="165">
      <c r="A20" s="8" t="s">
        <v>610</v>
      </c>
      <c r="B20" s="1">
        <v>53</v>
      </c>
      <c r="C20" s="20">
        <v>50</v>
      </c>
      <c r="D20" s="1">
        <v>1</v>
      </c>
      <c r="E20" s="1" t="s">
        <v>591</v>
      </c>
      <c r="F20" s="1">
        <v>21107</v>
      </c>
      <c r="G20" s="12" t="s">
        <v>91</v>
      </c>
      <c r="H20" s="12" t="s">
        <v>92</v>
      </c>
      <c r="I20" s="12" t="s">
        <v>22</v>
      </c>
      <c r="J20" s="10">
        <v>44726</v>
      </c>
      <c r="K20" s="30" t="s">
        <v>668</v>
      </c>
      <c r="L20" s="30" t="s">
        <v>676</v>
      </c>
      <c r="M20" s="12" t="s">
        <v>114</v>
      </c>
      <c r="N20" s="14" t="s">
        <v>167</v>
      </c>
      <c r="T20" s="10">
        <v>44719</v>
      </c>
      <c r="U20" s="30">
        <v>-7</v>
      </c>
      <c r="V20" s="1" t="s">
        <v>553</v>
      </c>
      <c r="W20" s="1">
        <v>10</v>
      </c>
      <c r="X20" s="1">
        <v>15</v>
      </c>
      <c r="Y20" s="1">
        <v>15</v>
      </c>
      <c r="Z20" s="1">
        <v>5</v>
      </c>
      <c r="AA20" s="1">
        <v>50</v>
      </c>
      <c r="AB20" s="1">
        <v>55</v>
      </c>
      <c r="AC20" s="33">
        <v>12.5</v>
      </c>
      <c r="AD20" s="1">
        <v>5</v>
      </c>
      <c r="AE20" s="1">
        <v>10</v>
      </c>
      <c r="AF20" s="1">
        <v>15</v>
      </c>
      <c r="AG20" s="1">
        <v>15</v>
      </c>
      <c r="AH20" s="1">
        <v>5</v>
      </c>
      <c r="AI20" s="1">
        <v>50</v>
      </c>
      <c r="AJ20" s="1">
        <v>60</v>
      </c>
      <c r="AK20" s="1">
        <v>30</v>
      </c>
      <c r="AS20" s="33">
        <v>12.5</v>
      </c>
      <c r="AT20" s="33">
        <v>25</v>
      </c>
      <c r="AU20" s="33">
        <v>10</v>
      </c>
      <c r="AV20" s="33">
        <v>10</v>
      </c>
      <c r="AW20" s="33">
        <v>46.666666666666664</v>
      </c>
      <c r="AX20" s="33">
        <v>21.25</v>
      </c>
      <c r="AY20" s="1">
        <v>6</v>
      </c>
      <c r="AZ20" s="33">
        <v>1</v>
      </c>
      <c r="BA20" s="1">
        <v>20</v>
      </c>
      <c r="BB20" s="1">
        <v>100</v>
      </c>
      <c r="BC20" s="1">
        <v>15</v>
      </c>
      <c r="BD20" s="1">
        <v>45</v>
      </c>
      <c r="BE20" s="1">
        <v>20</v>
      </c>
      <c r="BF20" s="1">
        <v>25</v>
      </c>
      <c r="BG20" s="1">
        <v>15</v>
      </c>
      <c r="BH20" s="1">
        <v>15</v>
      </c>
      <c r="BI20" s="33">
        <v>27.5</v>
      </c>
      <c r="BJ20" s="1">
        <v>35</v>
      </c>
      <c r="BK20" s="1">
        <v>45</v>
      </c>
      <c r="BL20" s="1">
        <v>65</v>
      </c>
      <c r="BM20" s="1">
        <v>50</v>
      </c>
      <c r="BN20" s="1">
        <v>30</v>
      </c>
      <c r="BO20" s="1">
        <v>35</v>
      </c>
      <c r="BP20" s="1">
        <v>35</v>
      </c>
      <c r="BQ20" s="1">
        <v>55</v>
      </c>
      <c r="BY20" s="33">
        <v>48.75</v>
      </c>
      <c r="BZ20" s="33">
        <v>47</v>
      </c>
      <c r="CA20" s="33">
        <v>48.333333333333336</v>
      </c>
      <c r="CB20" s="33">
        <v>40</v>
      </c>
      <c r="CC20" s="33">
        <v>41.666666666666664</v>
      </c>
      <c r="CD20" s="33">
        <v>45</v>
      </c>
      <c r="CE20" s="1">
        <v>6</v>
      </c>
      <c r="CF20" s="33">
        <v>2</v>
      </c>
      <c r="CG20" s="1">
        <v>50</v>
      </c>
      <c r="CH20" s="1">
        <v>100</v>
      </c>
      <c r="CL20" s="10">
        <v>44825</v>
      </c>
      <c r="CM20" s="30">
        <v>99</v>
      </c>
      <c r="CO20" s="1">
        <v>5</v>
      </c>
      <c r="CP20" s="1">
        <v>20</v>
      </c>
      <c r="CQ20" s="1">
        <v>20</v>
      </c>
      <c r="CR20" s="1">
        <v>15</v>
      </c>
      <c r="CS20" s="1">
        <v>50</v>
      </c>
      <c r="CT20" s="1">
        <v>35</v>
      </c>
      <c r="CU20" s="33">
        <v>18.75</v>
      </c>
      <c r="CV20" s="1">
        <v>10</v>
      </c>
      <c r="CW20" s="1">
        <v>10</v>
      </c>
      <c r="CX20" s="1">
        <v>20</v>
      </c>
      <c r="CY20" s="1">
        <v>20</v>
      </c>
      <c r="CZ20" s="1">
        <v>15</v>
      </c>
      <c r="DA20" s="1">
        <v>50</v>
      </c>
      <c r="DB20" s="1">
        <v>55</v>
      </c>
      <c r="DC20" s="1">
        <v>30</v>
      </c>
      <c r="DK20" s="33">
        <v>18.75</v>
      </c>
      <c r="DL20" s="33">
        <v>28</v>
      </c>
      <c r="DM20" s="33">
        <v>13.333333333333334</v>
      </c>
      <c r="DN20" s="33">
        <v>17.5</v>
      </c>
      <c r="DO20" s="33">
        <v>45</v>
      </c>
      <c r="DP20" s="33">
        <v>26.25</v>
      </c>
      <c r="DQ20" s="1">
        <v>6</v>
      </c>
      <c r="DR20" s="33">
        <v>1</v>
      </c>
      <c r="DS20" s="1">
        <v>25</v>
      </c>
      <c r="DT20" s="1">
        <v>100</v>
      </c>
      <c r="DU20" s="1">
        <v>20</v>
      </c>
      <c r="DV20" s="1">
        <v>20</v>
      </c>
      <c r="DW20" s="1">
        <v>5</v>
      </c>
      <c r="DX20" s="1">
        <v>15</v>
      </c>
      <c r="DY20" s="1">
        <v>20</v>
      </c>
      <c r="DZ20" s="1">
        <v>10</v>
      </c>
      <c r="EA20" s="33">
        <v>11.25</v>
      </c>
      <c r="EB20" s="1">
        <v>30</v>
      </c>
      <c r="EC20" s="1">
        <v>40</v>
      </c>
      <c r="ED20" s="1">
        <v>45</v>
      </c>
      <c r="EE20" s="1">
        <v>35</v>
      </c>
      <c r="EF20" s="1">
        <v>30</v>
      </c>
      <c r="EG20" s="1">
        <v>35</v>
      </c>
      <c r="EH20" s="1">
        <v>35</v>
      </c>
      <c r="EI20" s="1">
        <v>55</v>
      </c>
      <c r="EQ20" s="33">
        <v>36.25</v>
      </c>
      <c r="ER20" s="33">
        <v>40</v>
      </c>
      <c r="ES20" s="33">
        <v>38.333333333333336</v>
      </c>
      <c r="ET20" s="33">
        <v>32.5</v>
      </c>
      <c r="EU20" s="33">
        <v>41.666666666666664</v>
      </c>
      <c r="EV20" s="33">
        <v>36.25</v>
      </c>
      <c r="EW20" s="1">
        <v>6</v>
      </c>
      <c r="EX20" s="33">
        <v>1</v>
      </c>
      <c r="EY20" s="1">
        <v>45</v>
      </c>
      <c r="EZ20" s="1">
        <v>95</v>
      </c>
      <c r="FE20" s="30">
        <v>-44726</v>
      </c>
      <c r="FM20" s="33">
        <v>0</v>
      </c>
      <c r="GC20" s="33">
        <v>0</v>
      </c>
      <c r="GD20" s="33" t="e">
        <v>#DIV/0!</v>
      </c>
      <c r="GE20" s="33" t="e">
        <v>#DIV/0!</v>
      </c>
      <c r="GF20" s="33" t="e">
        <v>#DIV/0!</v>
      </c>
      <c r="GG20" s="33" t="e">
        <v>#DIV/0!</v>
      </c>
      <c r="GH20" s="33" t="e">
        <v>#DIV/0!</v>
      </c>
      <c r="GJ20" s="33" t="e">
        <v>#DIV/0!</v>
      </c>
      <c r="GS20" s="30">
        <v>0</v>
      </c>
      <c r="HI20" s="30">
        <v>0</v>
      </c>
      <c r="HJ20" s="30" t="e">
        <v>#DIV/0!</v>
      </c>
      <c r="HK20" s="30" t="e">
        <v>#DIV/0!</v>
      </c>
      <c r="HL20" s="30" t="e">
        <v>#DIV/0!</v>
      </c>
      <c r="HM20" s="30" t="e">
        <v>#DIV/0!</v>
      </c>
      <c r="HN20" s="30" t="e">
        <v>#DIV/0!</v>
      </c>
      <c r="HP20" s="30" t="e">
        <v>#DIV/0!</v>
      </c>
      <c r="HW20" s="30">
        <v>-44726</v>
      </c>
      <c r="IE20" s="30">
        <v>0</v>
      </c>
      <c r="IU20" s="30">
        <v>0</v>
      </c>
      <c r="IV20" s="30" t="e">
        <v>#DIV/0!</v>
      </c>
      <c r="IW20" s="30" t="e">
        <v>#DIV/0!</v>
      </c>
      <c r="IX20" s="30" t="e">
        <v>#DIV/0!</v>
      </c>
      <c r="IY20" s="30" t="e">
        <v>#DIV/0!</v>
      </c>
      <c r="IZ20" s="30" t="e">
        <v>#DIV/0!</v>
      </c>
      <c r="JB20" s="30" t="e">
        <v>#DIV/0!</v>
      </c>
      <c r="JK20" s="30">
        <v>0</v>
      </c>
      <c r="KA20" s="30">
        <v>0</v>
      </c>
      <c r="KB20" s="30" t="e">
        <v>#DIV/0!</v>
      </c>
      <c r="KC20" s="30" t="e">
        <v>#DIV/0!</v>
      </c>
      <c r="KD20" s="30" t="e">
        <v>#DIV/0!</v>
      </c>
      <c r="KE20" s="30" t="e">
        <v>#DIV/0!</v>
      </c>
      <c r="KF20" s="30" t="e">
        <v>#DIV/0!</v>
      </c>
      <c r="KH20" s="30" t="e">
        <v>#DIV/0!</v>
      </c>
    </row>
    <row r="21" spans="1:299" s="1" customFormat="1" ht="49.5">
      <c r="A21" s="8" t="s">
        <v>611</v>
      </c>
      <c r="B21" s="1">
        <v>54</v>
      </c>
      <c r="C21" s="20">
        <v>50</v>
      </c>
      <c r="D21" s="1">
        <v>1</v>
      </c>
      <c r="E21" s="1" t="s">
        <v>589</v>
      </c>
      <c r="F21" s="1">
        <v>21109</v>
      </c>
      <c r="G21" s="12" t="s">
        <v>77</v>
      </c>
      <c r="H21" s="12" t="s">
        <v>78</v>
      </c>
      <c r="I21" s="12" t="s">
        <v>22</v>
      </c>
      <c r="J21" s="13">
        <v>44783</v>
      </c>
      <c r="K21" s="13" t="s">
        <v>706</v>
      </c>
      <c r="L21" s="82" t="s">
        <v>718</v>
      </c>
      <c r="M21" s="1" t="s">
        <v>160</v>
      </c>
      <c r="N21" s="12" t="s">
        <v>123</v>
      </c>
      <c r="T21" s="10">
        <v>44769</v>
      </c>
      <c r="U21" s="30">
        <v>-14</v>
      </c>
      <c r="V21" s="1" t="s">
        <v>553</v>
      </c>
      <c r="W21" s="1">
        <v>25</v>
      </c>
      <c r="X21" s="1">
        <v>55</v>
      </c>
      <c r="Y21" s="1">
        <v>55</v>
      </c>
      <c r="Z21" s="1">
        <v>70</v>
      </c>
      <c r="AA21" s="1">
        <v>55</v>
      </c>
      <c r="AB21" s="1">
        <v>40</v>
      </c>
      <c r="AC21" s="1">
        <v>58.75</v>
      </c>
      <c r="AD21" s="1" t="s">
        <v>550</v>
      </c>
      <c r="AE21" s="1">
        <v>100</v>
      </c>
      <c r="AF21" s="1">
        <v>95</v>
      </c>
      <c r="AG21" s="1">
        <v>95</v>
      </c>
      <c r="AH21" s="1">
        <v>110</v>
      </c>
      <c r="AI21" s="1">
        <v>85</v>
      </c>
      <c r="AJ21" s="1">
        <v>85</v>
      </c>
      <c r="AK21" s="1" t="s">
        <v>545</v>
      </c>
      <c r="AS21" s="33">
        <v>98.75</v>
      </c>
      <c r="AT21" s="33">
        <v>96.25</v>
      </c>
      <c r="AU21" s="33">
        <v>97.5</v>
      </c>
      <c r="AV21" s="33">
        <v>102.5</v>
      </c>
      <c r="AW21" s="33">
        <v>85</v>
      </c>
      <c r="AX21" s="33">
        <v>96.25</v>
      </c>
      <c r="AY21" s="1">
        <v>6</v>
      </c>
      <c r="AZ21" s="33">
        <v>4</v>
      </c>
      <c r="BA21" s="1">
        <v>95</v>
      </c>
      <c r="BB21" s="1">
        <v>0</v>
      </c>
      <c r="BC21" s="1">
        <v>20</v>
      </c>
      <c r="BD21" s="1">
        <v>10</v>
      </c>
      <c r="BE21" s="1">
        <v>20</v>
      </c>
      <c r="BF21" s="1">
        <v>15</v>
      </c>
      <c r="BG21" s="1">
        <v>15</v>
      </c>
      <c r="BH21" s="1">
        <v>15</v>
      </c>
      <c r="BI21" s="33">
        <v>16.25</v>
      </c>
      <c r="BJ21" s="1">
        <v>30</v>
      </c>
      <c r="BK21" s="1">
        <v>20</v>
      </c>
      <c r="BL21" s="1">
        <v>10</v>
      </c>
      <c r="BM21" s="1">
        <v>20</v>
      </c>
      <c r="BN21" s="1">
        <v>15</v>
      </c>
      <c r="BO21" s="1">
        <v>15</v>
      </c>
      <c r="BP21" s="1">
        <v>15</v>
      </c>
      <c r="BQ21" s="1">
        <v>35</v>
      </c>
      <c r="BY21" s="33">
        <v>16.25</v>
      </c>
      <c r="BZ21" s="33">
        <v>19</v>
      </c>
      <c r="CA21" s="33">
        <v>20</v>
      </c>
      <c r="CB21" s="33">
        <v>17.5</v>
      </c>
      <c r="CC21" s="33">
        <v>21.666666666666668</v>
      </c>
      <c r="CD21" s="33">
        <v>15</v>
      </c>
      <c r="CE21" s="1">
        <v>6</v>
      </c>
      <c r="CF21" s="33">
        <v>0</v>
      </c>
      <c r="CG21" s="1">
        <v>25</v>
      </c>
      <c r="CH21" s="1">
        <v>100</v>
      </c>
      <c r="CK21" s="22"/>
      <c r="CL21" s="10">
        <v>44874</v>
      </c>
      <c r="CM21" s="30">
        <v>91</v>
      </c>
      <c r="CO21" s="1">
        <v>20</v>
      </c>
      <c r="CP21" s="1">
        <v>50</v>
      </c>
      <c r="CQ21" s="1">
        <v>55</v>
      </c>
      <c r="CR21" s="1">
        <v>55</v>
      </c>
      <c r="CS21" s="1">
        <v>50</v>
      </c>
      <c r="CT21" s="1">
        <v>40</v>
      </c>
      <c r="CU21" s="33">
        <v>53.75</v>
      </c>
      <c r="CV21" s="1">
        <v>75</v>
      </c>
      <c r="CW21" s="1">
        <v>85</v>
      </c>
      <c r="CX21" s="1">
        <v>85</v>
      </c>
      <c r="CY21" s="1">
        <v>85</v>
      </c>
      <c r="CZ21" s="1">
        <v>60</v>
      </c>
      <c r="DA21" s="1">
        <v>60</v>
      </c>
      <c r="DB21" s="1">
        <v>70</v>
      </c>
      <c r="DC21" s="1">
        <v>70</v>
      </c>
      <c r="DD21" s="1">
        <v>65</v>
      </c>
      <c r="DE21" s="1">
        <v>80</v>
      </c>
      <c r="DF21" s="1" t="s">
        <v>549</v>
      </c>
      <c r="DG21" s="1" t="s">
        <v>556</v>
      </c>
      <c r="DH21" s="1" t="s">
        <v>560</v>
      </c>
      <c r="DI21" s="1" t="s">
        <v>558</v>
      </c>
      <c r="DJ21" s="21" t="s">
        <v>559</v>
      </c>
      <c r="DK21" s="33">
        <v>78.75</v>
      </c>
      <c r="DL21" s="33">
        <v>74</v>
      </c>
      <c r="DM21" s="33">
        <v>81.666666666666671</v>
      </c>
      <c r="DN21" s="33">
        <v>72.5</v>
      </c>
      <c r="DO21" s="33">
        <v>66.666666666666671</v>
      </c>
      <c r="DP21" s="33">
        <v>72.5</v>
      </c>
      <c r="DQ21" s="1">
        <v>6</v>
      </c>
      <c r="DR21" s="33">
        <v>3</v>
      </c>
      <c r="DS21" s="1">
        <v>70</v>
      </c>
      <c r="DT21" s="1">
        <v>96</v>
      </c>
      <c r="DU21" s="1">
        <v>15</v>
      </c>
      <c r="DV21" s="1">
        <v>10</v>
      </c>
      <c r="DW21" s="1">
        <v>20</v>
      </c>
      <c r="DX21" s="1">
        <v>20</v>
      </c>
      <c r="DY21" s="1">
        <v>25</v>
      </c>
      <c r="DZ21" s="1">
        <v>10</v>
      </c>
      <c r="EA21" s="33">
        <v>17.5</v>
      </c>
      <c r="EB21" s="1">
        <v>20</v>
      </c>
      <c r="EC21" s="1">
        <v>15</v>
      </c>
      <c r="ED21" s="1">
        <v>10</v>
      </c>
      <c r="EE21" s="1">
        <v>20</v>
      </c>
      <c r="EF21" s="1">
        <v>20</v>
      </c>
      <c r="EG21" s="1">
        <v>25</v>
      </c>
      <c r="EH21" s="1">
        <v>10</v>
      </c>
      <c r="EI21" s="1">
        <v>45</v>
      </c>
      <c r="EJ21" s="1">
        <v>40</v>
      </c>
      <c r="EK21" s="1">
        <v>50</v>
      </c>
      <c r="EL21" s="1">
        <v>60</v>
      </c>
      <c r="EM21" s="1">
        <v>60</v>
      </c>
      <c r="EN21" s="1" t="s">
        <v>560</v>
      </c>
      <c r="EO21" s="1" t="s">
        <v>563</v>
      </c>
      <c r="EP21" s="21" t="s">
        <v>559</v>
      </c>
      <c r="EQ21" s="33">
        <v>17.5</v>
      </c>
      <c r="ER21" s="33">
        <v>21</v>
      </c>
      <c r="ES21" s="33">
        <v>15</v>
      </c>
      <c r="ET21" s="33">
        <v>20</v>
      </c>
      <c r="EU21" s="33">
        <v>26.666666666666668</v>
      </c>
      <c r="EV21" s="33">
        <v>18.75</v>
      </c>
      <c r="EW21" s="1">
        <v>6</v>
      </c>
      <c r="EX21" s="33">
        <v>0</v>
      </c>
      <c r="EY21" s="1">
        <v>25</v>
      </c>
      <c r="FC21" s="22"/>
      <c r="FD21" s="10">
        <v>44874</v>
      </c>
      <c r="FE21" s="30">
        <v>91</v>
      </c>
      <c r="FG21" s="1">
        <v>20</v>
      </c>
      <c r="FH21" s="1">
        <v>50</v>
      </c>
      <c r="FI21" s="1">
        <v>55</v>
      </c>
      <c r="FJ21" s="1">
        <v>55</v>
      </c>
      <c r="FK21" s="1">
        <v>50</v>
      </c>
      <c r="FL21" s="1">
        <v>40</v>
      </c>
      <c r="FM21" s="33">
        <v>53.75</v>
      </c>
      <c r="FN21" s="1">
        <v>75</v>
      </c>
      <c r="FO21" s="1">
        <v>85</v>
      </c>
      <c r="FP21" s="1">
        <v>85</v>
      </c>
      <c r="FQ21" s="1">
        <v>85</v>
      </c>
      <c r="FR21" s="1">
        <v>60</v>
      </c>
      <c r="FS21" s="1">
        <v>60</v>
      </c>
      <c r="FT21" s="1">
        <v>70</v>
      </c>
      <c r="FU21" s="1">
        <v>70</v>
      </c>
      <c r="FV21" s="1">
        <v>65</v>
      </c>
      <c r="FW21" s="1">
        <v>80</v>
      </c>
      <c r="FX21" s="1" t="s">
        <v>549</v>
      </c>
      <c r="FY21" s="1" t="s">
        <v>556</v>
      </c>
      <c r="FZ21" s="1" t="s">
        <v>560</v>
      </c>
      <c r="GA21" s="1" t="s">
        <v>558</v>
      </c>
      <c r="GB21" s="21" t="s">
        <v>559</v>
      </c>
      <c r="GC21" s="33">
        <v>78.75</v>
      </c>
      <c r="GD21" s="33">
        <v>74</v>
      </c>
      <c r="GE21" s="33">
        <v>81.666666666666671</v>
      </c>
      <c r="GF21" s="33">
        <v>72.5</v>
      </c>
      <c r="GG21" s="33">
        <v>66.666666666666671</v>
      </c>
      <c r="GH21" s="33">
        <v>72.5</v>
      </c>
      <c r="GI21" s="1">
        <v>6</v>
      </c>
      <c r="GJ21" s="33">
        <v>3</v>
      </c>
      <c r="GK21" s="1">
        <v>70</v>
      </c>
      <c r="GL21" s="1">
        <v>96</v>
      </c>
      <c r="GM21" s="1">
        <v>15</v>
      </c>
      <c r="GN21" s="1">
        <v>10</v>
      </c>
      <c r="GO21" s="1">
        <v>20</v>
      </c>
      <c r="GP21" s="1">
        <v>20</v>
      </c>
      <c r="GQ21" s="1">
        <v>25</v>
      </c>
      <c r="GR21" s="1">
        <v>10</v>
      </c>
      <c r="GS21" s="30">
        <v>17.5</v>
      </c>
      <c r="GT21" s="1">
        <v>20</v>
      </c>
      <c r="GU21" s="1">
        <v>15</v>
      </c>
      <c r="GV21" s="1">
        <v>10</v>
      </c>
      <c r="GW21" s="1">
        <v>20</v>
      </c>
      <c r="GX21" s="1">
        <v>20</v>
      </c>
      <c r="GY21" s="1">
        <v>25</v>
      </c>
      <c r="GZ21" s="1">
        <v>10</v>
      </c>
      <c r="HA21" s="1">
        <v>45</v>
      </c>
      <c r="HB21" s="1">
        <v>40</v>
      </c>
      <c r="HC21" s="1">
        <v>50</v>
      </c>
      <c r="HD21" s="1">
        <v>60</v>
      </c>
      <c r="HE21" s="1" t="s">
        <v>556</v>
      </c>
      <c r="HF21" s="1" t="s">
        <v>560</v>
      </c>
      <c r="HG21" s="1" t="s">
        <v>563</v>
      </c>
      <c r="HH21" s="21" t="s">
        <v>559</v>
      </c>
      <c r="HI21" s="30">
        <v>17.5</v>
      </c>
      <c r="HJ21" s="30">
        <v>21</v>
      </c>
      <c r="HK21" s="30">
        <v>15</v>
      </c>
      <c r="HL21" s="30">
        <v>20</v>
      </c>
      <c r="HM21" s="30">
        <v>26.666666666666668</v>
      </c>
      <c r="HN21" s="30">
        <v>18.75</v>
      </c>
      <c r="HO21" s="1">
        <v>6</v>
      </c>
      <c r="HP21" s="30">
        <v>0</v>
      </c>
      <c r="HQ21" s="1">
        <v>25</v>
      </c>
      <c r="HU21" s="22"/>
      <c r="HW21" s="30">
        <v>-44783</v>
      </c>
      <c r="IE21" s="30">
        <v>0</v>
      </c>
      <c r="IU21" s="30">
        <v>0</v>
      </c>
      <c r="IV21" s="30" t="e">
        <v>#DIV/0!</v>
      </c>
      <c r="IW21" s="30" t="e">
        <v>#DIV/0!</v>
      </c>
      <c r="IX21" s="30" t="e">
        <v>#DIV/0!</v>
      </c>
      <c r="IY21" s="30" t="e">
        <v>#DIV/0!</v>
      </c>
      <c r="IZ21" s="30" t="e">
        <v>#DIV/0!</v>
      </c>
      <c r="JB21" s="30" t="e">
        <v>#DIV/0!</v>
      </c>
      <c r="JK21" s="30">
        <v>0</v>
      </c>
      <c r="KA21" s="30">
        <v>0</v>
      </c>
      <c r="KB21" s="30" t="e">
        <v>#DIV/0!</v>
      </c>
      <c r="KC21" s="30" t="e">
        <v>#DIV/0!</v>
      </c>
      <c r="KD21" s="30" t="e">
        <v>#DIV/0!</v>
      </c>
      <c r="KE21" s="30" t="e">
        <v>#DIV/0!</v>
      </c>
      <c r="KF21" s="30" t="e">
        <v>#DIV/0!</v>
      </c>
      <c r="KH21" s="30" t="e">
        <v>#DIV/0!</v>
      </c>
    </row>
    <row r="22" spans="1:299" s="1" customFormat="1">
      <c r="A22" s="8" t="s">
        <v>612</v>
      </c>
      <c r="B22" s="9">
        <v>23</v>
      </c>
      <c r="C22" s="20">
        <v>20</v>
      </c>
      <c r="D22" s="9">
        <v>2</v>
      </c>
      <c r="E22" s="9" t="s">
        <v>588</v>
      </c>
      <c r="F22" s="9">
        <v>8242</v>
      </c>
      <c r="G22" s="9" t="s">
        <v>4</v>
      </c>
      <c r="H22" s="9" t="s">
        <v>6</v>
      </c>
      <c r="I22" s="9" t="s">
        <v>1</v>
      </c>
      <c r="J22" s="19">
        <v>44418</v>
      </c>
      <c r="K22" s="30" t="s">
        <v>661</v>
      </c>
      <c r="L22" s="30" t="s">
        <v>677</v>
      </c>
      <c r="M22" s="9" t="s">
        <v>141</v>
      </c>
      <c r="N22" s="9" t="s">
        <v>97</v>
      </c>
      <c r="P22" s="10">
        <v>44417</v>
      </c>
      <c r="R22" s="10">
        <v>44587</v>
      </c>
      <c r="T22" s="32">
        <v>44417</v>
      </c>
      <c r="U22" s="30">
        <v>-1</v>
      </c>
      <c r="V22" s="30"/>
      <c r="W22" s="30">
        <v>25</v>
      </c>
      <c r="X22" s="30">
        <v>40</v>
      </c>
      <c r="Y22" s="30">
        <v>20</v>
      </c>
      <c r="Z22" s="30">
        <v>15</v>
      </c>
      <c r="AA22" s="30">
        <v>15</v>
      </c>
      <c r="AB22" s="30">
        <v>15</v>
      </c>
      <c r="AC22" s="33">
        <v>23.75</v>
      </c>
      <c r="AD22" s="30">
        <v>35</v>
      </c>
      <c r="AE22" s="30">
        <v>45</v>
      </c>
      <c r="AF22" s="30">
        <v>50</v>
      </c>
      <c r="AG22" s="30">
        <v>25</v>
      </c>
      <c r="AH22" s="30">
        <v>15</v>
      </c>
      <c r="AI22" s="30">
        <v>15</v>
      </c>
      <c r="AJ22" s="30">
        <v>15</v>
      </c>
      <c r="AK22" s="30">
        <v>25</v>
      </c>
      <c r="AL22" s="31" t="s">
        <v>234</v>
      </c>
      <c r="AM22" s="31" t="s">
        <v>234</v>
      </c>
      <c r="AN22" s="31" t="s">
        <v>234</v>
      </c>
      <c r="AO22" s="31" t="s">
        <v>234</v>
      </c>
      <c r="AP22" s="31" t="s">
        <v>234</v>
      </c>
      <c r="AQ22" s="31" t="s">
        <v>234</v>
      </c>
      <c r="AR22" s="31" t="s">
        <v>234</v>
      </c>
      <c r="AS22" s="33">
        <v>28.75</v>
      </c>
      <c r="AT22" s="33">
        <v>26</v>
      </c>
      <c r="AU22" s="33">
        <v>43.333333333333336</v>
      </c>
      <c r="AV22" s="33">
        <v>20</v>
      </c>
      <c r="AW22" s="33">
        <v>18.333333333333332</v>
      </c>
      <c r="AX22" s="33">
        <v>26.25</v>
      </c>
      <c r="AY22" s="34">
        <v>1</v>
      </c>
      <c r="AZ22" s="33">
        <v>1</v>
      </c>
      <c r="BA22" s="30">
        <v>30</v>
      </c>
      <c r="BB22" s="30">
        <v>100</v>
      </c>
      <c r="BC22" s="30">
        <v>30</v>
      </c>
      <c r="BD22" s="30">
        <v>30</v>
      </c>
      <c r="BE22" s="30">
        <v>5</v>
      </c>
      <c r="BF22" s="30">
        <v>20</v>
      </c>
      <c r="BG22" s="30">
        <v>25</v>
      </c>
      <c r="BH22" s="30">
        <v>30</v>
      </c>
      <c r="BI22" s="33">
        <v>15</v>
      </c>
      <c r="BJ22" s="30">
        <v>35</v>
      </c>
      <c r="BK22" s="30">
        <v>35</v>
      </c>
      <c r="BL22" s="30">
        <v>40</v>
      </c>
      <c r="BM22" s="30">
        <v>20</v>
      </c>
      <c r="BN22" s="30">
        <v>20</v>
      </c>
      <c r="BO22" s="30">
        <v>35</v>
      </c>
      <c r="BP22" s="30">
        <v>40</v>
      </c>
      <c r="BQ22" s="30">
        <v>50</v>
      </c>
      <c r="BR22" s="31" t="s">
        <v>234</v>
      </c>
      <c r="BS22" s="31" t="s">
        <v>234</v>
      </c>
      <c r="BT22" s="31" t="s">
        <v>234</v>
      </c>
      <c r="BU22" s="31" t="s">
        <v>234</v>
      </c>
      <c r="BV22" s="31" t="s">
        <v>234</v>
      </c>
      <c r="BW22" s="31" t="s">
        <v>234</v>
      </c>
      <c r="BX22" s="31" t="s">
        <v>234</v>
      </c>
      <c r="BY22" s="33">
        <v>25</v>
      </c>
      <c r="BZ22" s="33">
        <v>34</v>
      </c>
      <c r="CA22" s="33">
        <v>36.666666666666664</v>
      </c>
      <c r="CB22" s="33">
        <v>20</v>
      </c>
      <c r="CC22" s="33">
        <v>41.666666666666664</v>
      </c>
      <c r="CD22" s="33">
        <v>28.75</v>
      </c>
      <c r="CE22" s="31" t="s">
        <v>235</v>
      </c>
      <c r="CF22" s="33">
        <v>1</v>
      </c>
      <c r="CG22" s="30">
        <v>30</v>
      </c>
      <c r="CH22" s="30">
        <v>100</v>
      </c>
      <c r="CI22" s="31" t="s">
        <v>236</v>
      </c>
      <c r="CJ22" s="31" t="s">
        <v>237</v>
      </c>
      <c r="CK22" s="30"/>
      <c r="CL22" s="32">
        <v>44522</v>
      </c>
      <c r="CM22" s="30">
        <v>104</v>
      </c>
      <c r="CN22" s="30"/>
      <c r="CO22" s="30">
        <v>5</v>
      </c>
      <c r="CP22" s="30">
        <v>10</v>
      </c>
      <c r="CQ22" s="30">
        <v>10</v>
      </c>
      <c r="CR22" s="30">
        <v>5</v>
      </c>
      <c r="CS22" s="30">
        <v>0</v>
      </c>
      <c r="CT22" s="30">
        <v>10</v>
      </c>
      <c r="CU22" s="33">
        <v>8.75</v>
      </c>
      <c r="CV22" s="30">
        <v>25</v>
      </c>
      <c r="CW22" s="30">
        <v>25</v>
      </c>
      <c r="CX22" s="30">
        <v>10</v>
      </c>
      <c r="CY22" s="30">
        <v>10</v>
      </c>
      <c r="CZ22" s="30">
        <v>5</v>
      </c>
      <c r="DA22" s="30">
        <v>0</v>
      </c>
      <c r="DB22" s="30">
        <v>10</v>
      </c>
      <c r="DC22" s="30">
        <v>0</v>
      </c>
      <c r="DD22" s="31" t="s">
        <v>234</v>
      </c>
      <c r="DE22" s="31" t="s">
        <v>234</v>
      </c>
      <c r="DF22" s="31" t="s">
        <v>234</v>
      </c>
      <c r="DG22" s="31" t="s">
        <v>234</v>
      </c>
      <c r="DH22" s="31" t="s">
        <v>234</v>
      </c>
      <c r="DI22" s="31" t="s">
        <v>234</v>
      </c>
      <c r="DJ22" s="31" t="s">
        <v>234</v>
      </c>
      <c r="DK22" s="33">
        <v>8.75</v>
      </c>
      <c r="DL22" s="33">
        <v>7</v>
      </c>
      <c r="DM22" s="33">
        <v>20</v>
      </c>
      <c r="DN22" s="33">
        <v>7.5</v>
      </c>
      <c r="DO22" s="33">
        <v>3.3333333333333335</v>
      </c>
      <c r="DP22" s="33">
        <v>6.25</v>
      </c>
      <c r="DQ22" s="30">
        <v>1</v>
      </c>
      <c r="DR22" s="33">
        <v>0</v>
      </c>
      <c r="DS22" s="30">
        <v>10</v>
      </c>
      <c r="DT22" s="30">
        <v>100</v>
      </c>
      <c r="DU22" s="30">
        <v>10</v>
      </c>
      <c r="DV22" s="30">
        <v>25</v>
      </c>
      <c r="DW22" s="30">
        <v>5</v>
      </c>
      <c r="DX22" s="30">
        <v>15</v>
      </c>
      <c r="DY22" s="30">
        <v>25</v>
      </c>
      <c r="DZ22" s="30">
        <v>20</v>
      </c>
      <c r="EA22" s="33">
        <v>12.5</v>
      </c>
      <c r="EB22" s="30">
        <v>30</v>
      </c>
      <c r="EC22" s="30">
        <v>35</v>
      </c>
      <c r="ED22" s="30">
        <v>35</v>
      </c>
      <c r="EE22" s="30">
        <v>20</v>
      </c>
      <c r="EF22" s="30">
        <v>15</v>
      </c>
      <c r="EG22" s="30">
        <v>25</v>
      </c>
      <c r="EH22" s="30">
        <v>20</v>
      </c>
      <c r="EI22" s="30">
        <v>25</v>
      </c>
      <c r="EJ22" s="31" t="s">
        <v>234</v>
      </c>
      <c r="EK22" s="31" t="s">
        <v>234</v>
      </c>
      <c r="EL22" s="31" t="s">
        <v>234</v>
      </c>
      <c r="EM22" s="31" t="s">
        <v>234</v>
      </c>
      <c r="EN22" s="31" t="s">
        <v>234</v>
      </c>
      <c r="EO22" s="31" t="s">
        <v>234</v>
      </c>
      <c r="EP22" s="31" t="s">
        <v>234</v>
      </c>
      <c r="EQ22" s="33">
        <v>22.5</v>
      </c>
      <c r="ER22" s="33">
        <v>23</v>
      </c>
      <c r="ES22" s="33">
        <v>33.333333333333336</v>
      </c>
      <c r="ET22" s="33">
        <v>17.5</v>
      </c>
      <c r="EU22" s="33">
        <v>23.333333333333332</v>
      </c>
      <c r="EV22" s="33">
        <v>23.75</v>
      </c>
      <c r="EW22" s="30">
        <v>1</v>
      </c>
      <c r="EX22" s="33">
        <v>1</v>
      </c>
      <c r="EY22" s="30">
        <v>25</v>
      </c>
      <c r="EZ22" s="30">
        <v>100</v>
      </c>
      <c r="FA22" s="31" t="s">
        <v>238</v>
      </c>
      <c r="FB22" s="31" t="s">
        <v>239</v>
      </c>
      <c r="FC22" s="30"/>
      <c r="FD22" s="32">
        <v>44587</v>
      </c>
      <c r="FE22" s="30">
        <v>169</v>
      </c>
      <c r="FF22" s="30"/>
      <c r="FG22" s="30">
        <v>5</v>
      </c>
      <c r="FH22" s="30">
        <v>10</v>
      </c>
      <c r="FI22" s="30">
        <v>5</v>
      </c>
      <c r="FJ22" s="30">
        <v>5</v>
      </c>
      <c r="FK22" s="30">
        <v>5</v>
      </c>
      <c r="FL22" s="30">
        <v>15</v>
      </c>
      <c r="FM22" s="33">
        <v>6.25</v>
      </c>
      <c r="FN22" s="30">
        <v>15</v>
      </c>
      <c r="FO22" s="30">
        <v>15</v>
      </c>
      <c r="FP22" s="30">
        <v>10</v>
      </c>
      <c r="FQ22" s="30">
        <v>5</v>
      </c>
      <c r="FR22" s="30">
        <v>5</v>
      </c>
      <c r="FS22" s="30">
        <v>5</v>
      </c>
      <c r="FT22" s="30">
        <v>15</v>
      </c>
      <c r="FU22" s="30">
        <v>0</v>
      </c>
      <c r="FV22" s="31" t="s">
        <v>234</v>
      </c>
      <c r="FW22" s="31" t="s">
        <v>234</v>
      </c>
      <c r="FX22" s="31" t="s">
        <v>234</v>
      </c>
      <c r="FY22" s="31" t="s">
        <v>234</v>
      </c>
      <c r="FZ22" s="31" t="s">
        <v>234</v>
      </c>
      <c r="GA22" s="31" t="s">
        <v>234</v>
      </c>
      <c r="GB22" s="31" t="s">
        <v>234</v>
      </c>
      <c r="GC22" s="33">
        <v>6.25</v>
      </c>
      <c r="GD22" s="33">
        <v>7</v>
      </c>
      <c r="GE22" s="33">
        <v>13.333333333333334</v>
      </c>
      <c r="GF22" s="33">
        <v>5</v>
      </c>
      <c r="GG22" s="33">
        <v>6.666666666666667</v>
      </c>
      <c r="GH22" s="33">
        <v>6.25</v>
      </c>
      <c r="GI22" s="30">
        <v>1</v>
      </c>
      <c r="GJ22" s="33">
        <v>0</v>
      </c>
      <c r="GK22" s="30">
        <v>10</v>
      </c>
      <c r="GL22" s="30">
        <v>100</v>
      </c>
      <c r="GM22" s="30">
        <v>15</v>
      </c>
      <c r="GN22" s="30">
        <v>25</v>
      </c>
      <c r="GO22" s="30">
        <v>25</v>
      </c>
      <c r="GP22" s="30">
        <v>15</v>
      </c>
      <c r="GQ22" s="30">
        <v>20</v>
      </c>
      <c r="GR22" s="30">
        <v>10</v>
      </c>
      <c r="GS22" s="30">
        <v>22.5</v>
      </c>
      <c r="GT22" s="30">
        <v>30</v>
      </c>
      <c r="GU22" s="30">
        <v>40</v>
      </c>
      <c r="GV22" s="30">
        <v>35</v>
      </c>
      <c r="GW22" s="30">
        <v>30</v>
      </c>
      <c r="GX22" s="30">
        <v>15</v>
      </c>
      <c r="GY22" s="30">
        <v>30</v>
      </c>
      <c r="GZ22" s="30">
        <v>35</v>
      </c>
      <c r="HA22" s="30">
        <v>30</v>
      </c>
      <c r="HB22" s="31" t="s">
        <v>234</v>
      </c>
      <c r="HC22" s="31" t="s">
        <v>234</v>
      </c>
      <c r="HD22" s="31" t="s">
        <v>234</v>
      </c>
      <c r="HE22" s="31" t="s">
        <v>234</v>
      </c>
      <c r="HF22" s="31" t="s">
        <v>234</v>
      </c>
      <c r="HG22" s="31" t="s">
        <v>234</v>
      </c>
      <c r="HH22" s="31" t="s">
        <v>234</v>
      </c>
      <c r="HI22" s="30">
        <v>27.5</v>
      </c>
      <c r="HJ22" s="30">
        <v>29</v>
      </c>
      <c r="HK22" s="30">
        <v>35</v>
      </c>
      <c r="HL22" s="30">
        <v>22.5</v>
      </c>
      <c r="HM22" s="30">
        <v>31.666666666666668</v>
      </c>
      <c r="HN22" s="30">
        <v>27.5</v>
      </c>
      <c r="HO22" s="30">
        <v>1</v>
      </c>
      <c r="HP22" s="30">
        <v>1</v>
      </c>
      <c r="HQ22" s="30">
        <v>35</v>
      </c>
      <c r="HR22" s="30">
        <v>100</v>
      </c>
      <c r="HS22" s="31" t="s">
        <v>240</v>
      </c>
      <c r="HT22" s="31" t="s">
        <v>241</v>
      </c>
      <c r="HU22" s="30"/>
      <c r="HV22" s="32">
        <v>44797</v>
      </c>
      <c r="HW22" s="30">
        <v>379</v>
      </c>
      <c r="HX22" s="30"/>
      <c r="HY22" s="30">
        <v>25</v>
      </c>
      <c r="HZ22" s="30">
        <v>25</v>
      </c>
      <c r="IA22" s="30">
        <v>20</v>
      </c>
      <c r="IB22" s="30">
        <v>20</v>
      </c>
      <c r="IC22" s="30">
        <v>20</v>
      </c>
      <c r="ID22" s="30">
        <v>20</v>
      </c>
      <c r="IE22" s="30">
        <v>21.25</v>
      </c>
      <c r="IF22" s="30">
        <v>35</v>
      </c>
      <c r="IG22" s="30">
        <v>30</v>
      </c>
      <c r="IH22" s="30">
        <v>25</v>
      </c>
      <c r="II22" s="30">
        <v>20</v>
      </c>
      <c r="IJ22" s="30">
        <v>20</v>
      </c>
      <c r="IK22" s="30">
        <v>20</v>
      </c>
      <c r="IL22" s="30">
        <v>20</v>
      </c>
      <c r="IM22" s="30">
        <v>25</v>
      </c>
      <c r="IN22" s="31" t="s">
        <v>234</v>
      </c>
      <c r="IO22" s="31" t="s">
        <v>234</v>
      </c>
      <c r="IP22" s="31" t="s">
        <v>234</v>
      </c>
      <c r="IQ22" s="31" t="s">
        <v>234</v>
      </c>
      <c r="IR22" s="31" t="s">
        <v>234</v>
      </c>
      <c r="IS22" s="31" t="s">
        <v>234</v>
      </c>
      <c r="IT22" s="31" t="s">
        <v>234</v>
      </c>
      <c r="IU22" s="30">
        <v>21.25</v>
      </c>
      <c r="IV22" s="30">
        <v>22</v>
      </c>
      <c r="IW22" s="30">
        <v>30</v>
      </c>
      <c r="IX22" s="30">
        <v>20</v>
      </c>
      <c r="IY22" s="30">
        <v>21.666666666666668</v>
      </c>
      <c r="IZ22" s="30">
        <v>21.25</v>
      </c>
      <c r="JA22" s="30">
        <v>4</v>
      </c>
      <c r="JB22" s="30">
        <v>1</v>
      </c>
      <c r="JC22" s="30">
        <v>25</v>
      </c>
      <c r="JD22" s="30">
        <v>100</v>
      </c>
      <c r="JE22" s="30">
        <v>35</v>
      </c>
      <c r="JF22" s="30">
        <v>35</v>
      </c>
      <c r="JG22" s="30">
        <v>25</v>
      </c>
      <c r="JH22" s="30">
        <v>20</v>
      </c>
      <c r="JI22" s="30">
        <v>30</v>
      </c>
      <c r="JJ22" s="30">
        <v>35</v>
      </c>
      <c r="JK22" s="30">
        <v>26.25</v>
      </c>
      <c r="JL22" s="30">
        <v>30</v>
      </c>
      <c r="JM22" s="30">
        <v>40</v>
      </c>
      <c r="JN22" s="30">
        <v>35</v>
      </c>
      <c r="JO22" s="30">
        <v>25</v>
      </c>
      <c r="JP22" s="30">
        <v>20</v>
      </c>
      <c r="JQ22" s="30">
        <v>30</v>
      </c>
      <c r="JR22" s="30">
        <v>35</v>
      </c>
      <c r="JS22" s="30">
        <v>30</v>
      </c>
      <c r="JT22" s="31" t="s">
        <v>234</v>
      </c>
      <c r="JU22" s="31" t="s">
        <v>234</v>
      </c>
      <c r="JV22" s="31" t="s">
        <v>234</v>
      </c>
      <c r="JW22" s="31" t="s">
        <v>234</v>
      </c>
      <c r="JX22" s="31" t="s">
        <v>234</v>
      </c>
      <c r="JY22" s="31" t="s">
        <v>234</v>
      </c>
      <c r="JZ22" s="31" t="s">
        <v>234</v>
      </c>
      <c r="KA22" s="30">
        <v>26.25</v>
      </c>
      <c r="KB22" s="30">
        <v>29</v>
      </c>
      <c r="KC22" s="30">
        <v>35</v>
      </c>
      <c r="KD22" s="30">
        <v>22.5</v>
      </c>
      <c r="KE22" s="30">
        <v>31.666666666666668</v>
      </c>
      <c r="KF22" s="30">
        <v>27.5</v>
      </c>
      <c r="KG22" s="30" t="s">
        <v>235</v>
      </c>
      <c r="KH22" s="30">
        <v>1</v>
      </c>
      <c r="KI22" s="30">
        <v>35</v>
      </c>
      <c r="KJ22" s="30">
        <v>100</v>
      </c>
      <c r="KK22" s="31" t="s">
        <v>242</v>
      </c>
      <c r="KL22" s="31" t="s">
        <v>243</v>
      </c>
      <c r="KM22" s="30"/>
    </row>
    <row r="23" spans="1:299" s="1" customFormat="1" ht="132">
      <c r="A23" s="8" t="s">
        <v>613</v>
      </c>
      <c r="B23" s="1">
        <v>40</v>
      </c>
      <c r="C23" s="1">
        <v>40</v>
      </c>
      <c r="D23" s="1">
        <v>1</v>
      </c>
      <c r="E23" s="1" t="s">
        <v>592</v>
      </c>
      <c r="F23" s="73" t="s">
        <v>583</v>
      </c>
      <c r="G23" s="10">
        <v>44004</v>
      </c>
      <c r="H23" s="10">
        <v>44006</v>
      </c>
      <c r="I23" s="12" t="s">
        <v>22</v>
      </c>
      <c r="J23" s="10">
        <v>44026</v>
      </c>
      <c r="K23" s="33" t="s">
        <v>678</v>
      </c>
      <c r="L23" s="33" t="s">
        <v>679</v>
      </c>
      <c r="M23" s="1" t="s">
        <v>183</v>
      </c>
      <c r="N23" s="14" t="s">
        <v>182</v>
      </c>
      <c r="T23" s="54">
        <v>44026</v>
      </c>
      <c r="U23" s="30">
        <v>0</v>
      </c>
      <c r="V23" s="33"/>
      <c r="W23" s="33">
        <v>15</v>
      </c>
      <c r="X23" s="33">
        <v>10</v>
      </c>
      <c r="Y23" s="33">
        <v>15</v>
      </c>
      <c r="Z23" s="33">
        <v>15</v>
      </c>
      <c r="AA23" s="33">
        <v>20</v>
      </c>
      <c r="AB23" s="33">
        <v>20</v>
      </c>
      <c r="AC23" s="33">
        <v>13.75</v>
      </c>
      <c r="AD23" s="30">
        <v>20</v>
      </c>
      <c r="AE23" s="30">
        <v>15</v>
      </c>
      <c r="AF23" s="30">
        <v>10</v>
      </c>
      <c r="AG23" s="30">
        <v>15</v>
      </c>
      <c r="AH23" s="30">
        <v>15</v>
      </c>
      <c r="AI23" s="30">
        <v>20</v>
      </c>
      <c r="AJ23" s="30">
        <v>25</v>
      </c>
      <c r="AK23" s="30">
        <v>40</v>
      </c>
      <c r="AL23" s="31" t="s">
        <v>234</v>
      </c>
      <c r="AM23" s="31" t="s">
        <v>234</v>
      </c>
      <c r="AN23" s="31" t="s">
        <v>234</v>
      </c>
      <c r="AO23" s="31" t="s">
        <v>234</v>
      </c>
      <c r="AP23" s="31" t="s">
        <v>234</v>
      </c>
      <c r="AQ23" s="31" t="s">
        <v>234</v>
      </c>
      <c r="AR23" s="31" t="s">
        <v>234</v>
      </c>
      <c r="AS23" s="33">
        <v>13.75</v>
      </c>
      <c r="AT23" s="33">
        <v>21</v>
      </c>
      <c r="AU23" s="33">
        <v>15</v>
      </c>
      <c r="AV23" s="33">
        <v>15</v>
      </c>
      <c r="AW23" s="33">
        <v>28.333333333333332</v>
      </c>
      <c r="AX23" s="33">
        <v>15</v>
      </c>
      <c r="AY23" s="34">
        <v>6</v>
      </c>
      <c r="AZ23" s="33">
        <v>0</v>
      </c>
      <c r="BA23" s="33">
        <v>25</v>
      </c>
      <c r="BB23" s="33">
        <v>100</v>
      </c>
      <c r="BC23" s="33">
        <v>10</v>
      </c>
      <c r="BD23" s="33">
        <v>5</v>
      </c>
      <c r="BE23" s="33">
        <v>15</v>
      </c>
      <c r="BF23" s="33">
        <v>20</v>
      </c>
      <c r="BG23" s="33">
        <v>25</v>
      </c>
      <c r="BH23" s="33">
        <v>40</v>
      </c>
      <c r="BI23" s="33">
        <v>13.75</v>
      </c>
      <c r="BJ23" s="30">
        <v>40</v>
      </c>
      <c r="BK23" s="30">
        <v>40</v>
      </c>
      <c r="BL23" s="30">
        <v>40</v>
      </c>
      <c r="BM23" s="30">
        <v>45</v>
      </c>
      <c r="BN23" s="30">
        <v>35</v>
      </c>
      <c r="BO23" s="30">
        <v>35</v>
      </c>
      <c r="BP23" s="30">
        <v>80</v>
      </c>
      <c r="BQ23" s="30">
        <v>90</v>
      </c>
      <c r="BR23" s="31" t="s">
        <v>234</v>
      </c>
      <c r="BS23" s="31" t="s">
        <v>234</v>
      </c>
      <c r="BT23" s="31" t="s">
        <v>234</v>
      </c>
      <c r="BU23" s="31" t="s">
        <v>234</v>
      </c>
      <c r="BV23" s="31" t="s">
        <v>234</v>
      </c>
      <c r="BW23" s="31" t="s">
        <v>234</v>
      </c>
      <c r="BX23" s="31" t="s">
        <v>234</v>
      </c>
      <c r="BY23" s="33">
        <v>41.25</v>
      </c>
      <c r="BZ23" s="33">
        <v>58</v>
      </c>
      <c r="CA23" s="33">
        <v>40</v>
      </c>
      <c r="CB23" s="33">
        <v>40</v>
      </c>
      <c r="CC23" s="33">
        <v>68.333333333333329</v>
      </c>
      <c r="CD23" s="33">
        <v>38.75</v>
      </c>
      <c r="CE23" s="33">
        <v>6</v>
      </c>
      <c r="CF23" s="33">
        <v>1</v>
      </c>
      <c r="CG23" s="33">
        <v>45</v>
      </c>
      <c r="CH23" s="33">
        <v>100</v>
      </c>
      <c r="CI23" s="31" t="s">
        <v>335</v>
      </c>
      <c r="CJ23" s="31" t="s">
        <v>336</v>
      </c>
      <c r="CK23" s="65"/>
      <c r="CL23" s="54">
        <v>44111</v>
      </c>
      <c r="CM23" s="30">
        <v>85</v>
      </c>
      <c r="CN23" s="33"/>
      <c r="CO23" s="33">
        <v>10</v>
      </c>
      <c r="CP23" s="33">
        <v>15</v>
      </c>
      <c r="CQ23" s="33">
        <v>15</v>
      </c>
      <c r="CR23" s="33">
        <v>10</v>
      </c>
      <c r="CS23" s="33">
        <v>20</v>
      </c>
      <c r="CT23" s="33">
        <v>25</v>
      </c>
      <c r="CU23" s="33">
        <v>13.75</v>
      </c>
      <c r="CV23" s="30">
        <v>15</v>
      </c>
      <c r="CW23" s="30">
        <v>15</v>
      </c>
      <c r="CX23" s="30">
        <v>20</v>
      </c>
      <c r="CY23" s="30">
        <v>15</v>
      </c>
      <c r="CZ23" s="30">
        <v>10</v>
      </c>
      <c r="DA23" s="30">
        <v>20</v>
      </c>
      <c r="DB23" s="30">
        <v>30</v>
      </c>
      <c r="DC23" s="30">
        <v>35</v>
      </c>
      <c r="DD23" s="31" t="s">
        <v>234</v>
      </c>
      <c r="DE23" s="31" t="s">
        <v>234</v>
      </c>
      <c r="DF23" s="31" t="s">
        <v>234</v>
      </c>
      <c r="DG23" s="31" t="s">
        <v>234</v>
      </c>
      <c r="DH23" s="31" t="s">
        <v>234</v>
      </c>
      <c r="DI23" s="31" t="s">
        <v>234</v>
      </c>
      <c r="DJ23" s="31" t="s">
        <v>234</v>
      </c>
      <c r="DK23" s="33">
        <v>15</v>
      </c>
      <c r="DL23" s="33">
        <v>22</v>
      </c>
      <c r="DM23" s="33">
        <v>16.666666666666668</v>
      </c>
      <c r="DN23" s="33">
        <v>12.5</v>
      </c>
      <c r="DO23" s="33">
        <v>28.333333333333332</v>
      </c>
      <c r="DP23" s="33">
        <v>16.25</v>
      </c>
      <c r="DQ23" s="33">
        <v>6</v>
      </c>
      <c r="DR23" s="33">
        <v>0</v>
      </c>
      <c r="DS23" s="33">
        <v>20</v>
      </c>
      <c r="DT23" s="33">
        <v>100</v>
      </c>
      <c r="DU23" s="33">
        <v>10</v>
      </c>
      <c r="DV23" s="33">
        <v>20</v>
      </c>
      <c r="DW23" s="33">
        <v>25</v>
      </c>
      <c r="DX23" s="33">
        <v>30</v>
      </c>
      <c r="DY23" s="33">
        <v>35</v>
      </c>
      <c r="DZ23" s="33">
        <v>55</v>
      </c>
      <c r="EA23" s="33">
        <v>25</v>
      </c>
      <c r="EB23" s="30">
        <v>60</v>
      </c>
      <c r="EC23" s="30">
        <v>65</v>
      </c>
      <c r="ED23" s="30">
        <v>70</v>
      </c>
      <c r="EE23" s="30">
        <v>55</v>
      </c>
      <c r="EF23" s="30">
        <v>45</v>
      </c>
      <c r="EG23" s="30">
        <v>40</v>
      </c>
      <c r="EH23" s="30">
        <v>85</v>
      </c>
      <c r="EI23" s="30">
        <v>90</v>
      </c>
      <c r="EJ23" s="31" t="s">
        <v>234</v>
      </c>
      <c r="EK23" s="31" t="s">
        <v>234</v>
      </c>
      <c r="EL23" s="31" t="s">
        <v>234</v>
      </c>
      <c r="EM23" s="31" t="s">
        <v>234</v>
      </c>
      <c r="EN23" s="31" t="s">
        <v>234</v>
      </c>
      <c r="EO23" s="31" t="s">
        <v>234</v>
      </c>
      <c r="EP23" s="31" t="s">
        <v>234</v>
      </c>
      <c r="EQ23" s="33">
        <v>56.25</v>
      </c>
      <c r="ER23" s="33">
        <v>69</v>
      </c>
      <c r="ES23" s="33">
        <v>65</v>
      </c>
      <c r="ET23" s="33">
        <v>50</v>
      </c>
      <c r="EU23" s="33">
        <v>71.666666666666671</v>
      </c>
      <c r="EV23" s="33">
        <v>52.5</v>
      </c>
      <c r="EW23" s="33">
        <v>6</v>
      </c>
      <c r="EX23" s="33">
        <v>2</v>
      </c>
      <c r="EY23" s="33">
        <v>65</v>
      </c>
      <c r="EZ23" s="33">
        <v>70</v>
      </c>
      <c r="FA23" s="33" t="s">
        <v>337</v>
      </c>
      <c r="FB23" s="33" t="s">
        <v>338</v>
      </c>
      <c r="FC23" s="65"/>
      <c r="FD23" s="54">
        <v>44230</v>
      </c>
      <c r="FE23" s="30">
        <v>204</v>
      </c>
      <c r="FF23" s="33"/>
      <c r="FG23" s="33">
        <v>10</v>
      </c>
      <c r="FH23" s="33">
        <v>15</v>
      </c>
      <c r="FI23" s="33">
        <v>15</v>
      </c>
      <c r="FJ23" s="33">
        <v>10</v>
      </c>
      <c r="FK23" s="33">
        <v>20</v>
      </c>
      <c r="FL23" s="33">
        <v>25</v>
      </c>
      <c r="FM23" s="33">
        <v>13.75</v>
      </c>
      <c r="FN23" s="30">
        <v>10</v>
      </c>
      <c r="FO23" s="30">
        <v>10</v>
      </c>
      <c r="FP23" s="30">
        <v>15</v>
      </c>
      <c r="FQ23" s="30">
        <v>15</v>
      </c>
      <c r="FR23" s="30">
        <v>10</v>
      </c>
      <c r="FS23" s="30">
        <v>20</v>
      </c>
      <c r="FT23" s="30">
        <v>25</v>
      </c>
      <c r="FU23" s="30">
        <v>40</v>
      </c>
      <c r="FV23" s="31" t="s">
        <v>234</v>
      </c>
      <c r="FW23" s="31" t="s">
        <v>234</v>
      </c>
      <c r="FX23" s="31" t="s">
        <v>234</v>
      </c>
      <c r="FY23" s="31" t="s">
        <v>234</v>
      </c>
      <c r="FZ23" s="31" t="s">
        <v>234</v>
      </c>
      <c r="GA23" s="31" t="s">
        <v>234</v>
      </c>
      <c r="GB23" s="31" t="s">
        <v>234</v>
      </c>
      <c r="GC23" s="33">
        <v>13.75</v>
      </c>
      <c r="GD23" s="33">
        <v>21</v>
      </c>
      <c r="GE23" s="33">
        <v>11.666666666666666</v>
      </c>
      <c r="GF23" s="33">
        <v>12.5</v>
      </c>
      <c r="GG23" s="33">
        <v>28.333333333333332</v>
      </c>
      <c r="GH23" s="33">
        <v>15</v>
      </c>
      <c r="GI23" s="33">
        <v>6</v>
      </c>
      <c r="GJ23" s="33">
        <v>0</v>
      </c>
      <c r="GK23" s="33">
        <v>15</v>
      </c>
      <c r="GL23" s="33">
        <v>100</v>
      </c>
      <c r="GM23" s="33">
        <v>5</v>
      </c>
      <c r="GN23" s="33">
        <v>15</v>
      </c>
      <c r="GO23" s="33">
        <v>25</v>
      </c>
      <c r="GP23" s="33">
        <v>35</v>
      </c>
      <c r="GQ23" s="33">
        <v>45</v>
      </c>
      <c r="GR23" s="33">
        <v>55</v>
      </c>
      <c r="GS23" s="30">
        <v>25</v>
      </c>
      <c r="GT23" s="30">
        <v>70</v>
      </c>
      <c r="GU23" s="30">
        <v>65</v>
      </c>
      <c r="GV23" s="30">
        <v>75</v>
      </c>
      <c r="GW23" s="30">
        <v>65</v>
      </c>
      <c r="GX23" s="30">
        <v>50</v>
      </c>
      <c r="GY23" s="30">
        <v>65</v>
      </c>
      <c r="GZ23" s="30">
        <v>100</v>
      </c>
      <c r="HA23" s="55">
        <v>115</v>
      </c>
      <c r="HB23" s="31" t="s">
        <v>234</v>
      </c>
      <c r="HC23" s="31" t="s">
        <v>234</v>
      </c>
      <c r="HD23" s="31" t="s">
        <v>234</v>
      </c>
      <c r="HE23" s="31" t="s">
        <v>234</v>
      </c>
      <c r="HF23" s="31" t="s">
        <v>234</v>
      </c>
      <c r="HG23" s="31" t="s">
        <v>234</v>
      </c>
      <c r="HH23" s="31" t="s">
        <v>234</v>
      </c>
      <c r="HI23" s="30">
        <v>63.75</v>
      </c>
      <c r="HJ23" s="30">
        <v>81</v>
      </c>
      <c r="HK23" s="30">
        <v>70</v>
      </c>
      <c r="HL23" s="30">
        <v>57.5</v>
      </c>
      <c r="HM23" s="30">
        <v>93.333333333333329</v>
      </c>
      <c r="HN23" s="30">
        <v>63.75</v>
      </c>
      <c r="HO23" s="33">
        <v>6</v>
      </c>
      <c r="HP23" s="30">
        <v>3</v>
      </c>
      <c r="HQ23" s="33">
        <v>65</v>
      </c>
      <c r="HR23" s="33">
        <v>100</v>
      </c>
      <c r="HS23" s="31" t="s">
        <v>339</v>
      </c>
      <c r="HT23" s="31" t="s">
        <v>340</v>
      </c>
      <c r="HU23" s="33"/>
      <c r="HV23" s="54">
        <v>44440</v>
      </c>
      <c r="HW23" s="30">
        <v>414</v>
      </c>
      <c r="HX23" s="33"/>
      <c r="HY23" s="33">
        <v>15</v>
      </c>
      <c r="HZ23" s="33">
        <v>15</v>
      </c>
      <c r="IA23" s="33">
        <v>20</v>
      </c>
      <c r="IB23" s="33">
        <v>15</v>
      </c>
      <c r="IC23" s="33">
        <v>20</v>
      </c>
      <c r="ID23" s="33">
        <v>30</v>
      </c>
      <c r="IE23" s="30">
        <v>17.5</v>
      </c>
      <c r="IF23" s="30">
        <v>15</v>
      </c>
      <c r="IG23" s="30">
        <v>15</v>
      </c>
      <c r="IH23" s="30">
        <v>15</v>
      </c>
      <c r="II23" s="30">
        <v>20</v>
      </c>
      <c r="IJ23" s="30">
        <v>15</v>
      </c>
      <c r="IK23" s="30">
        <v>20</v>
      </c>
      <c r="IL23" s="30">
        <v>30</v>
      </c>
      <c r="IM23" s="30">
        <v>50</v>
      </c>
      <c r="IN23" s="31" t="s">
        <v>234</v>
      </c>
      <c r="IO23" s="31" t="s">
        <v>234</v>
      </c>
      <c r="IP23" s="31" t="s">
        <v>234</v>
      </c>
      <c r="IQ23" s="31" t="s">
        <v>234</v>
      </c>
      <c r="IR23" s="31" t="s">
        <v>234</v>
      </c>
      <c r="IS23" s="31" t="s">
        <v>234</v>
      </c>
      <c r="IT23" s="31" t="s">
        <v>234</v>
      </c>
      <c r="IU23" s="30">
        <v>17.5</v>
      </c>
      <c r="IV23" s="30">
        <v>26</v>
      </c>
      <c r="IW23" s="30">
        <v>15</v>
      </c>
      <c r="IX23" s="30">
        <v>17.5</v>
      </c>
      <c r="IY23" s="30">
        <v>33.333333333333336</v>
      </c>
      <c r="IZ23" s="30">
        <v>17.5</v>
      </c>
      <c r="JA23" s="33">
        <v>6</v>
      </c>
      <c r="JB23" s="30">
        <v>0</v>
      </c>
      <c r="JC23" s="33">
        <v>20</v>
      </c>
      <c r="JD23" s="33">
        <v>100</v>
      </c>
      <c r="JE23" s="33">
        <v>10</v>
      </c>
      <c r="JF23" s="33">
        <v>20</v>
      </c>
      <c r="JG23" s="33">
        <v>20</v>
      </c>
      <c r="JH23" s="33">
        <v>35</v>
      </c>
      <c r="JI23" s="33">
        <v>40</v>
      </c>
      <c r="JJ23" s="33">
        <v>55</v>
      </c>
      <c r="JK23" s="30">
        <v>23.75</v>
      </c>
      <c r="JL23" s="30">
        <v>65</v>
      </c>
      <c r="JM23" s="30">
        <v>70</v>
      </c>
      <c r="JN23" s="30">
        <v>75</v>
      </c>
      <c r="JO23" s="30">
        <v>55</v>
      </c>
      <c r="JP23" s="30">
        <v>55</v>
      </c>
      <c r="JQ23" s="30">
        <v>75</v>
      </c>
      <c r="JR23" s="30">
        <v>110</v>
      </c>
      <c r="JS23" s="30">
        <v>95</v>
      </c>
      <c r="JT23" s="31" t="s">
        <v>234</v>
      </c>
      <c r="JU23" s="31" t="s">
        <v>234</v>
      </c>
      <c r="JV23" s="31" t="s">
        <v>234</v>
      </c>
      <c r="JW23" s="31" t="s">
        <v>234</v>
      </c>
      <c r="JX23" s="31" t="s">
        <v>234</v>
      </c>
      <c r="JY23" s="31" t="s">
        <v>234</v>
      </c>
      <c r="JZ23" s="31" t="s">
        <v>234</v>
      </c>
      <c r="KA23" s="30">
        <v>60</v>
      </c>
      <c r="KB23" s="30">
        <v>78</v>
      </c>
      <c r="KC23" s="30">
        <v>70</v>
      </c>
      <c r="KD23" s="30">
        <v>55</v>
      </c>
      <c r="KE23" s="30">
        <v>93.333333333333329</v>
      </c>
      <c r="KF23" s="30">
        <v>65</v>
      </c>
      <c r="KG23" s="33">
        <v>6</v>
      </c>
      <c r="KH23" s="30">
        <v>3</v>
      </c>
      <c r="KI23" s="33">
        <v>65</v>
      </c>
      <c r="KJ23" s="33">
        <v>100</v>
      </c>
      <c r="KK23" s="33" t="s">
        <v>341</v>
      </c>
      <c r="KL23" s="33" t="s">
        <v>342</v>
      </c>
    </row>
    <row r="24" spans="1:299" s="1" customFormat="1" ht="66">
      <c r="A24" s="8" t="s">
        <v>614</v>
      </c>
      <c r="B24" s="1">
        <v>33</v>
      </c>
      <c r="C24" s="20">
        <v>30</v>
      </c>
      <c r="D24" s="1">
        <v>2</v>
      </c>
      <c r="E24" s="1" t="s">
        <v>591</v>
      </c>
      <c r="F24" s="1">
        <v>21111</v>
      </c>
      <c r="G24" s="12" t="s">
        <v>93</v>
      </c>
      <c r="H24" s="12" t="s">
        <v>94</v>
      </c>
      <c r="I24" s="12" t="s">
        <v>22</v>
      </c>
      <c r="J24" s="10">
        <v>44714</v>
      </c>
      <c r="K24" s="30" t="s">
        <v>661</v>
      </c>
      <c r="L24" s="30" t="s">
        <v>680</v>
      </c>
      <c r="M24" s="14" t="s">
        <v>118</v>
      </c>
      <c r="N24" s="14" t="s">
        <v>118</v>
      </c>
      <c r="P24" s="10"/>
      <c r="T24" s="32">
        <v>44683</v>
      </c>
      <c r="U24" s="84">
        <v>-31</v>
      </c>
      <c r="V24" s="30"/>
      <c r="W24" s="30">
        <v>25</v>
      </c>
      <c r="X24" s="30">
        <v>20</v>
      </c>
      <c r="Y24" s="30">
        <v>10</v>
      </c>
      <c r="Z24" s="30">
        <v>20</v>
      </c>
      <c r="AA24" s="30">
        <v>15</v>
      </c>
      <c r="AB24" s="30">
        <v>20</v>
      </c>
      <c r="AC24" s="33">
        <f>(X24+(Y24*2)+Z24)/4</f>
        <v>15</v>
      </c>
      <c r="AD24" s="30">
        <v>20</v>
      </c>
      <c r="AE24" s="30">
        <v>25</v>
      </c>
      <c r="AF24" s="30">
        <v>30</v>
      </c>
      <c r="AG24" s="30">
        <v>25</v>
      </c>
      <c r="AH24" s="30">
        <v>20</v>
      </c>
      <c r="AI24" s="30">
        <v>25</v>
      </c>
      <c r="AJ24" s="30">
        <v>25</v>
      </c>
      <c r="AK24" s="30">
        <v>30</v>
      </c>
      <c r="AL24" s="31" t="s">
        <v>234</v>
      </c>
      <c r="AM24" s="31" t="s">
        <v>234</v>
      </c>
      <c r="AN24" s="31" t="s">
        <v>234</v>
      </c>
      <c r="AO24" s="31" t="s">
        <v>234</v>
      </c>
      <c r="AP24" s="31" t="s">
        <v>234</v>
      </c>
      <c r="AQ24" s="31" t="s">
        <v>234</v>
      </c>
      <c r="AR24" s="31" t="s">
        <v>234</v>
      </c>
      <c r="AS24" s="33">
        <f>(AF24+(AG24*2)+AH24)/4</f>
        <v>25</v>
      </c>
      <c r="AT24" s="33">
        <f>AVERAGE(AF24,AG24,AH24,AJ24,AK24)</f>
        <v>26</v>
      </c>
      <c r="AU24" s="33">
        <f>AVERAGE(AD24:AF24)</f>
        <v>25</v>
      </c>
      <c r="AV24" s="33">
        <f>AVERAGE(AG24:AH24)</f>
        <v>22.5</v>
      </c>
      <c r="AW24" s="33">
        <f>AVERAGE(AI24:AK24)</f>
        <v>26.666666666666668</v>
      </c>
      <c r="AX24" s="33">
        <f>AVERAGE(AF24:AI24)</f>
        <v>25</v>
      </c>
      <c r="AY24" s="34">
        <v>4</v>
      </c>
      <c r="AZ24" s="33">
        <f>IF(AX24&lt;=20,0,IF(AX24&lt;=40,1,IF(AX24&lt;=60,2,IF(AX24&lt;=80,3,IF(AX24&lt;=100,4,5)))))</f>
        <v>1</v>
      </c>
      <c r="BA24" s="30">
        <v>30</v>
      </c>
      <c r="BB24" s="30">
        <v>100</v>
      </c>
      <c r="BC24" s="30">
        <v>10</v>
      </c>
      <c r="BD24" s="30">
        <v>25</v>
      </c>
      <c r="BE24" s="30">
        <v>15</v>
      </c>
      <c r="BF24" s="30">
        <v>10</v>
      </c>
      <c r="BG24" s="30">
        <v>15</v>
      </c>
      <c r="BH24" s="30">
        <v>25</v>
      </c>
      <c r="BI24" s="33">
        <f>(BD24+(BE24*2)+BF24)/4</f>
        <v>16.25</v>
      </c>
      <c r="BJ24" s="30">
        <v>20</v>
      </c>
      <c r="BK24" s="30">
        <v>25</v>
      </c>
      <c r="BL24" s="30">
        <v>30</v>
      </c>
      <c r="BM24" s="30">
        <v>20</v>
      </c>
      <c r="BN24" s="30">
        <v>25</v>
      </c>
      <c r="BO24" s="30">
        <v>15</v>
      </c>
      <c r="BP24" s="30">
        <v>30</v>
      </c>
      <c r="BQ24" s="30">
        <v>35</v>
      </c>
      <c r="BR24" s="31" t="s">
        <v>234</v>
      </c>
      <c r="BS24" s="31" t="s">
        <v>234</v>
      </c>
      <c r="BT24" s="31" t="s">
        <v>234</v>
      </c>
      <c r="BU24" s="31" t="s">
        <v>234</v>
      </c>
      <c r="BV24" s="31" t="s">
        <v>234</v>
      </c>
      <c r="BW24" s="31" t="s">
        <v>234</v>
      </c>
      <c r="BX24" s="31" t="s">
        <v>234</v>
      </c>
      <c r="BY24" s="33">
        <f>(BL24+(BM24*2)+BN24)/4</f>
        <v>23.75</v>
      </c>
      <c r="BZ24" s="33">
        <f>AVERAGE(BL24,BM24,BN24,BP24,BQ24)</f>
        <v>28</v>
      </c>
      <c r="CA24" s="33">
        <f>AVERAGE(BJ24:BL24)</f>
        <v>25</v>
      </c>
      <c r="CB24" s="33">
        <f>AVERAGE(BM24:BN24)</f>
        <v>22.5</v>
      </c>
      <c r="CC24" s="33">
        <f>AVERAGE(BO24:BQ24)</f>
        <v>26.666666666666668</v>
      </c>
      <c r="CD24" s="33">
        <f>AVERAGE(BL24:BO24)</f>
        <v>22.5</v>
      </c>
      <c r="CE24" s="30">
        <v>4</v>
      </c>
      <c r="CF24" s="33">
        <f>IF(CD24&lt;=20,0,IF(CD24&lt;=40,1,IF(CD24&lt;=60,2,IF(CD24&lt;=80,3,IF(CD24&lt;=100,4,5)))))</f>
        <v>1</v>
      </c>
      <c r="CG24" s="30">
        <v>30</v>
      </c>
      <c r="CH24" s="30">
        <v>100</v>
      </c>
      <c r="CI24" s="31" t="s">
        <v>343</v>
      </c>
      <c r="CJ24" s="31" t="s">
        <v>344</v>
      </c>
      <c r="CK24" s="56"/>
      <c r="CL24" s="32">
        <v>44851</v>
      </c>
      <c r="CM24" s="30">
        <v>136</v>
      </c>
      <c r="CN24" s="30"/>
      <c r="CO24" s="30">
        <v>10</v>
      </c>
      <c r="CP24" s="30">
        <v>15</v>
      </c>
      <c r="CQ24" s="30">
        <v>5</v>
      </c>
      <c r="CR24" s="30">
        <v>15</v>
      </c>
      <c r="CS24" s="30">
        <v>10</v>
      </c>
      <c r="CT24" s="30">
        <v>10</v>
      </c>
      <c r="CU24" s="33">
        <v>10</v>
      </c>
      <c r="CV24" s="30">
        <v>30</v>
      </c>
      <c r="CW24" s="30">
        <v>35</v>
      </c>
      <c r="CX24" s="30">
        <v>35</v>
      </c>
      <c r="CY24" s="30">
        <v>35</v>
      </c>
      <c r="CZ24" s="30">
        <v>15</v>
      </c>
      <c r="DA24" s="30">
        <v>25</v>
      </c>
      <c r="DB24" s="30">
        <v>30</v>
      </c>
      <c r="DC24" s="30">
        <v>30</v>
      </c>
      <c r="DD24" s="30"/>
      <c r="DE24" s="30"/>
      <c r="DF24" s="30"/>
      <c r="DG24" s="30"/>
      <c r="DH24" s="30"/>
      <c r="DI24" s="30"/>
      <c r="DJ24" s="30"/>
      <c r="DK24" s="33">
        <v>30</v>
      </c>
      <c r="DL24" s="33">
        <v>29</v>
      </c>
      <c r="DM24" s="33">
        <v>33.333333333333336</v>
      </c>
      <c r="DN24" s="33">
        <v>25</v>
      </c>
      <c r="DO24" s="33">
        <v>28.333333333333332</v>
      </c>
      <c r="DP24" s="33">
        <v>27.5</v>
      </c>
      <c r="DQ24" s="30">
        <v>4</v>
      </c>
      <c r="DR24" s="33">
        <v>1</v>
      </c>
      <c r="DS24" s="30">
        <v>25</v>
      </c>
      <c r="DT24" s="30">
        <v>100</v>
      </c>
      <c r="DU24" s="30">
        <v>5</v>
      </c>
      <c r="DV24" s="30">
        <v>5</v>
      </c>
      <c r="DW24" s="30">
        <v>5</v>
      </c>
      <c r="DX24" s="30">
        <v>0</v>
      </c>
      <c r="DY24" s="30">
        <v>0</v>
      </c>
      <c r="DZ24" s="30">
        <v>10</v>
      </c>
      <c r="EA24" s="33">
        <v>3.75</v>
      </c>
      <c r="EB24" s="30">
        <v>30</v>
      </c>
      <c r="EC24" s="30">
        <v>30</v>
      </c>
      <c r="ED24" s="30">
        <v>10</v>
      </c>
      <c r="EE24" s="30">
        <v>5</v>
      </c>
      <c r="EF24" s="30">
        <v>0</v>
      </c>
      <c r="EG24" s="30">
        <v>0</v>
      </c>
      <c r="EH24" s="30">
        <v>20</v>
      </c>
      <c r="EI24" s="30">
        <v>30</v>
      </c>
      <c r="EJ24" s="30" t="s">
        <v>277</v>
      </c>
      <c r="EK24" s="30" t="s">
        <v>277</v>
      </c>
      <c r="EL24" s="30" t="s">
        <v>277</v>
      </c>
      <c r="EM24" s="30" t="s">
        <v>277</v>
      </c>
      <c r="EN24" s="30" t="s">
        <v>277</v>
      </c>
      <c r="EO24" s="30" t="s">
        <v>277</v>
      </c>
      <c r="EP24" s="30" t="s">
        <v>277</v>
      </c>
      <c r="EQ24" s="33">
        <v>5</v>
      </c>
      <c r="ER24" s="33">
        <v>13</v>
      </c>
      <c r="ES24" s="33">
        <v>23.333333333333332</v>
      </c>
      <c r="ET24" s="33">
        <v>2.5</v>
      </c>
      <c r="EU24" s="33">
        <v>16.666666666666668</v>
      </c>
      <c r="EV24" s="33">
        <v>3.75</v>
      </c>
      <c r="EW24" s="30" t="s">
        <v>235</v>
      </c>
      <c r="EX24" s="33">
        <v>0</v>
      </c>
      <c r="EY24" s="30">
        <v>20</v>
      </c>
      <c r="EZ24" s="30">
        <v>100</v>
      </c>
      <c r="FA24" s="30"/>
      <c r="FB24" s="30"/>
      <c r="FC24" s="56" t="s">
        <v>345</v>
      </c>
      <c r="FD24" s="50"/>
      <c r="FE24" s="30">
        <v>-44715</v>
      </c>
      <c r="FF24" s="30"/>
      <c r="FG24" s="30"/>
      <c r="FH24" s="30"/>
      <c r="FI24" s="30"/>
      <c r="FJ24" s="30"/>
      <c r="FK24" s="30"/>
      <c r="FL24" s="30"/>
      <c r="FM24" s="33">
        <v>0</v>
      </c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3">
        <v>0</v>
      </c>
      <c r="GD24" s="33" t="e">
        <v>#DIV/0!</v>
      </c>
      <c r="GE24" s="33" t="e">
        <v>#DIV/0!</v>
      </c>
      <c r="GF24" s="33" t="e">
        <v>#DIV/0!</v>
      </c>
      <c r="GG24" s="33" t="e">
        <v>#DIV/0!</v>
      </c>
      <c r="GH24" s="33" t="e">
        <v>#DIV/0!</v>
      </c>
      <c r="GI24" s="30" t="e">
        <v>#DIV/0!</v>
      </c>
      <c r="GJ24" s="33" t="e">
        <v>#DIV/0!</v>
      </c>
      <c r="GK24" s="30"/>
      <c r="GL24" s="30"/>
      <c r="GM24" s="30"/>
      <c r="GN24" s="30"/>
      <c r="GO24" s="30"/>
      <c r="GP24" s="30"/>
      <c r="GQ24" s="30"/>
      <c r="GR24" s="30"/>
      <c r="GS24" s="30">
        <v>0</v>
      </c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>
        <v>0</v>
      </c>
      <c r="HJ24" s="30" t="e">
        <v>#DIV/0!</v>
      </c>
      <c r="HK24" s="30" t="e">
        <v>#DIV/0!</v>
      </c>
      <c r="HL24" s="30" t="e">
        <v>#DIV/0!</v>
      </c>
      <c r="HM24" s="30" t="e">
        <v>#DIV/0!</v>
      </c>
      <c r="HN24" s="30" t="e">
        <v>#DIV/0!</v>
      </c>
      <c r="HO24" s="30" t="e">
        <v>#DIV/0!</v>
      </c>
      <c r="HP24" s="30" t="e">
        <v>#DIV/0!</v>
      </c>
      <c r="HQ24" s="30"/>
      <c r="HR24" s="30"/>
      <c r="HS24" s="30"/>
      <c r="HT24" s="30"/>
      <c r="HU24" s="56"/>
      <c r="HV24" s="51"/>
      <c r="HW24" s="30">
        <v>-44715</v>
      </c>
      <c r="HX24" s="30"/>
      <c r="HY24" s="30"/>
      <c r="HZ24" s="30"/>
      <c r="IA24" s="30"/>
      <c r="IB24" s="30"/>
      <c r="IC24" s="30"/>
      <c r="ID24" s="30"/>
      <c r="IE24" s="30">
        <v>0</v>
      </c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>
        <v>0</v>
      </c>
      <c r="IV24" s="30" t="e">
        <v>#DIV/0!</v>
      </c>
      <c r="IW24" s="30" t="e">
        <v>#DIV/0!</v>
      </c>
      <c r="IX24" s="30" t="e">
        <v>#DIV/0!</v>
      </c>
      <c r="IY24" s="30" t="e">
        <v>#DIV/0!</v>
      </c>
      <c r="IZ24" s="30" t="e">
        <v>#DIV/0!</v>
      </c>
      <c r="JA24" s="30" t="e">
        <v>#DIV/0!</v>
      </c>
      <c r="JB24" s="30" t="e">
        <v>#DIV/0!</v>
      </c>
      <c r="JC24" s="30"/>
      <c r="JD24" s="30"/>
      <c r="JE24" s="30"/>
      <c r="JF24" s="30"/>
      <c r="JG24" s="30"/>
      <c r="JH24" s="30"/>
      <c r="JI24" s="30"/>
      <c r="JJ24" s="30"/>
      <c r="JK24" s="30">
        <v>0</v>
      </c>
      <c r="JL24" s="30"/>
      <c r="JM24" s="30"/>
      <c r="JN24" s="30"/>
      <c r="JO24" s="30"/>
      <c r="JP24" s="30"/>
      <c r="JQ24" s="30"/>
      <c r="JR24" s="30"/>
      <c r="JS24" s="30"/>
      <c r="JT24" s="30" t="s">
        <v>277</v>
      </c>
      <c r="JU24" s="30" t="s">
        <v>277</v>
      </c>
      <c r="JV24" s="30" t="s">
        <v>277</v>
      </c>
      <c r="JW24" s="30" t="s">
        <v>277</v>
      </c>
      <c r="JX24" s="30" t="s">
        <v>277</v>
      </c>
      <c r="JY24" s="30" t="s">
        <v>277</v>
      </c>
      <c r="JZ24" s="30" t="s">
        <v>277</v>
      </c>
      <c r="KA24" s="30">
        <v>0</v>
      </c>
      <c r="KB24" s="30" t="e">
        <v>#DIV/0!</v>
      </c>
      <c r="KC24" s="30" t="e">
        <v>#DIV/0!</v>
      </c>
      <c r="KD24" s="30" t="e">
        <v>#DIV/0!</v>
      </c>
      <c r="KE24" s="30" t="e">
        <v>#DIV/0!</v>
      </c>
      <c r="KF24" s="30" t="e">
        <v>#DIV/0!</v>
      </c>
      <c r="KG24" s="30" t="e">
        <v>#DIV/0!</v>
      </c>
      <c r="KH24" s="30" t="e">
        <v>#DIV/0!</v>
      </c>
    </row>
    <row r="25" spans="1:299" s="1" customFormat="1" ht="66">
      <c r="A25" s="8" t="s">
        <v>615</v>
      </c>
      <c r="B25" s="1">
        <v>58</v>
      </c>
      <c r="C25" s="20">
        <v>50</v>
      </c>
      <c r="D25" s="1">
        <v>1</v>
      </c>
      <c r="E25" s="1" t="s">
        <v>591</v>
      </c>
      <c r="F25" s="1">
        <v>21108</v>
      </c>
      <c r="G25" s="12" t="s">
        <v>84</v>
      </c>
      <c r="H25" s="1" t="s">
        <v>85</v>
      </c>
      <c r="I25" s="12" t="s">
        <v>22</v>
      </c>
      <c r="J25" s="10">
        <v>44763</v>
      </c>
      <c r="K25" s="30" t="s">
        <v>661</v>
      </c>
      <c r="L25" s="30" t="s">
        <v>681</v>
      </c>
      <c r="M25" s="1" t="s">
        <v>162</v>
      </c>
      <c r="N25" s="14" t="s">
        <v>163</v>
      </c>
      <c r="T25" s="53">
        <v>44761</v>
      </c>
      <c r="U25" s="30">
        <v>-2</v>
      </c>
      <c r="V25" s="31" t="s">
        <v>554</v>
      </c>
      <c r="W25" s="31">
        <v>25</v>
      </c>
      <c r="X25" s="31">
        <v>15</v>
      </c>
      <c r="Y25" s="31">
        <v>20</v>
      </c>
      <c r="Z25" s="31">
        <v>20</v>
      </c>
      <c r="AA25" s="30">
        <v>25</v>
      </c>
      <c r="AB25" s="30">
        <v>25</v>
      </c>
      <c r="AC25" s="33">
        <v>18.75</v>
      </c>
      <c r="AD25" s="30">
        <v>25</v>
      </c>
      <c r="AE25" s="30">
        <v>25</v>
      </c>
      <c r="AF25" s="30">
        <v>15</v>
      </c>
      <c r="AG25" s="30">
        <v>20</v>
      </c>
      <c r="AH25" s="30">
        <v>20</v>
      </c>
      <c r="AI25" s="30">
        <v>25</v>
      </c>
      <c r="AJ25" s="30">
        <v>25</v>
      </c>
      <c r="AK25" s="30">
        <v>45</v>
      </c>
      <c r="AL25" s="31" t="s">
        <v>234</v>
      </c>
      <c r="AM25" s="31" t="s">
        <v>234</v>
      </c>
      <c r="AN25" s="31" t="s">
        <v>234</v>
      </c>
      <c r="AO25" s="31" t="s">
        <v>234</v>
      </c>
      <c r="AP25" s="31" t="s">
        <v>234</v>
      </c>
      <c r="AQ25" s="31" t="s">
        <v>234</v>
      </c>
      <c r="AR25" s="31" t="s">
        <v>234</v>
      </c>
      <c r="AS25" s="33">
        <v>18.75</v>
      </c>
      <c r="AT25" s="33">
        <v>25</v>
      </c>
      <c r="AU25" s="33">
        <v>21.666666666666668</v>
      </c>
      <c r="AV25" s="33">
        <v>20</v>
      </c>
      <c r="AW25" s="33">
        <v>31.666666666666668</v>
      </c>
      <c r="AX25" s="33">
        <v>20</v>
      </c>
      <c r="AY25" s="34">
        <v>4</v>
      </c>
      <c r="AZ25" s="33">
        <v>0</v>
      </c>
      <c r="BA25" s="30">
        <v>25</v>
      </c>
      <c r="BB25" s="30">
        <v>100</v>
      </c>
      <c r="BC25" s="30">
        <v>25</v>
      </c>
      <c r="BD25" s="30">
        <v>25</v>
      </c>
      <c r="BE25" s="30">
        <v>10</v>
      </c>
      <c r="BF25" s="30">
        <v>35</v>
      </c>
      <c r="BG25" s="30">
        <v>30</v>
      </c>
      <c r="BH25" s="30">
        <v>30</v>
      </c>
      <c r="BI25" s="33">
        <v>20</v>
      </c>
      <c r="BJ25" s="30">
        <v>55</v>
      </c>
      <c r="BK25" s="30">
        <v>60</v>
      </c>
      <c r="BL25" s="30">
        <v>60</v>
      </c>
      <c r="BM25" s="30">
        <v>50</v>
      </c>
      <c r="BN25" s="30">
        <v>35</v>
      </c>
      <c r="BO25" s="30">
        <v>65</v>
      </c>
      <c r="BP25" s="30">
        <v>55</v>
      </c>
      <c r="BQ25" s="30">
        <v>65</v>
      </c>
      <c r="BR25" s="31" t="s">
        <v>234</v>
      </c>
      <c r="BS25" s="31" t="s">
        <v>234</v>
      </c>
      <c r="BT25" s="31" t="s">
        <v>234</v>
      </c>
      <c r="BU25" s="31" t="s">
        <v>234</v>
      </c>
      <c r="BV25" s="31" t="s">
        <v>234</v>
      </c>
      <c r="BW25" s="31" t="s">
        <v>234</v>
      </c>
      <c r="BX25" s="31" t="s">
        <v>234</v>
      </c>
      <c r="BY25" s="33">
        <v>48.75</v>
      </c>
      <c r="BZ25" s="33">
        <v>53</v>
      </c>
      <c r="CA25" s="33">
        <v>58.333333333333336</v>
      </c>
      <c r="CB25" s="33">
        <v>42.5</v>
      </c>
      <c r="CC25" s="33">
        <v>61.666666666666664</v>
      </c>
      <c r="CD25" s="33">
        <v>52.5</v>
      </c>
      <c r="CE25" s="30">
        <v>2</v>
      </c>
      <c r="CF25" s="33">
        <v>2</v>
      </c>
      <c r="CG25" s="30">
        <v>55</v>
      </c>
      <c r="CH25" s="30">
        <v>100</v>
      </c>
      <c r="CI25" s="30" t="s">
        <v>346</v>
      </c>
      <c r="CJ25" s="31" t="s">
        <v>347</v>
      </c>
      <c r="CK25" s="30"/>
      <c r="CL25" s="32">
        <v>44874</v>
      </c>
      <c r="CM25" s="30">
        <v>111</v>
      </c>
      <c r="CN25" s="30"/>
      <c r="CO25" s="30">
        <v>10</v>
      </c>
      <c r="CP25" s="30">
        <v>15</v>
      </c>
      <c r="CQ25" s="30">
        <v>20</v>
      </c>
      <c r="CR25" s="30">
        <v>15</v>
      </c>
      <c r="CS25" s="30">
        <v>10</v>
      </c>
      <c r="CT25" s="30">
        <v>20</v>
      </c>
      <c r="CU25" s="33">
        <v>17.5</v>
      </c>
      <c r="CV25" s="30">
        <v>35</v>
      </c>
      <c r="CW25" s="30">
        <v>30</v>
      </c>
      <c r="CX25" s="30">
        <v>25</v>
      </c>
      <c r="CY25" s="30">
        <v>20</v>
      </c>
      <c r="CZ25" s="30">
        <v>15</v>
      </c>
      <c r="DA25" s="30">
        <v>15</v>
      </c>
      <c r="DB25" s="30">
        <v>25</v>
      </c>
      <c r="DC25" s="30">
        <v>45</v>
      </c>
      <c r="DD25" s="30"/>
      <c r="DE25" s="30"/>
      <c r="DF25" s="30"/>
      <c r="DG25" s="30"/>
      <c r="DH25" s="30"/>
      <c r="DI25" s="30"/>
      <c r="DJ25" s="30"/>
      <c r="DK25" s="33">
        <v>20</v>
      </c>
      <c r="DL25" s="33">
        <v>26</v>
      </c>
      <c r="DM25" s="33">
        <v>30</v>
      </c>
      <c r="DN25" s="33">
        <v>17.5</v>
      </c>
      <c r="DO25" s="33">
        <v>28.333333333333332</v>
      </c>
      <c r="DP25" s="33">
        <v>18.75</v>
      </c>
      <c r="DQ25" s="30" t="s">
        <v>235</v>
      </c>
      <c r="DR25" s="33">
        <v>0</v>
      </c>
      <c r="DS25" s="30">
        <v>25</v>
      </c>
      <c r="DT25" s="30">
        <v>95</v>
      </c>
      <c r="DU25" s="30">
        <v>0</v>
      </c>
      <c r="DV25" s="30">
        <v>10</v>
      </c>
      <c r="DW25" s="30">
        <v>15</v>
      </c>
      <c r="DX25" s="30">
        <v>20</v>
      </c>
      <c r="DY25" s="30">
        <v>20</v>
      </c>
      <c r="DZ25" s="30">
        <v>20</v>
      </c>
      <c r="EA25" s="33">
        <v>15</v>
      </c>
      <c r="EB25" s="30">
        <v>55</v>
      </c>
      <c r="EC25" s="30">
        <v>60</v>
      </c>
      <c r="ED25" s="30">
        <v>45</v>
      </c>
      <c r="EE25" s="30">
        <v>45</v>
      </c>
      <c r="EF25" s="30">
        <v>40</v>
      </c>
      <c r="EG25" s="30">
        <v>35</v>
      </c>
      <c r="EH25" s="30">
        <v>45</v>
      </c>
      <c r="EI25" s="30">
        <v>55</v>
      </c>
      <c r="EJ25" s="30" t="s">
        <v>277</v>
      </c>
      <c r="EK25" s="30" t="s">
        <v>277</v>
      </c>
      <c r="EL25" s="30" t="s">
        <v>277</v>
      </c>
      <c r="EM25" s="30" t="s">
        <v>277</v>
      </c>
      <c r="EN25" s="30" t="s">
        <v>277</v>
      </c>
      <c r="EO25" s="30" t="s">
        <v>277</v>
      </c>
      <c r="EP25" s="30" t="s">
        <v>277</v>
      </c>
      <c r="EQ25" s="33">
        <v>43.75</v>
      </c>
      <c r="ER25" s="33">
        <v>46</v>
      </c>
      <c r="ES25" s="33">
        <v>53.333333333333336</v>
      </c>
      <c r="ET25" s="33">
        <v>42.5</v>
      </c>
      <c r="EU25" s="33">
        <v>45</v>
      </c>
      <c r="EV25" s="33">
        <v>41.25</v>
      </c>
      <c r="EW25" s="30" t="s">
        <v>235</v>
      </c>
      <c r="EX25" s="33">
        <v>2</v>
      </c>
      <c r="EY25" s="30">
        <v>40</v>
      </c>
      <c r="EZ25" s="30">
        <v>90</v>
      </c>
      <c r="FA25" s="30"/>
      <c r="FB25" s="30"/>
      <c r="FC25" s="30" t="s">
        <v>348</v>
      </c>
      <c r="FD25" s="32">
        <v>44965</v>
      </c>
      <c r="FE25" s="30">
        <v>202</v>
      </c>
      <c r="FF25" s="30"/>
      <c r="FG25" s="30">
        <v>25</v>
      </c>
      <c r="FH25" s="30">
        <v>10</v>
      </c>
      <c r="FI25" s="30">
        <v>10</v>
      </c>
      <c r="FJ25" s="30">
        <v>10</v>
      </c>
      <c r="FK25" s="30">
        <v>15</v>
      </c>
      <c r="FL25" s="30">
        <v>25</v>
      </c>
      <c r="FM25" s="33">
        <v>10</v>
      </c>
      <c r="FN25" s="30">
        <v>30</v>
      </c>
      <c r="FO25" s="30">
        <v>25</v>
      </c>
      <c r="FP25" s="30">
        <v>10</v>
      </c>
      <c r="FQ25" s="30">
        <v>10</v>
      </c>
      <c r="FR25" s="30">
        <v>10</v>
      </c>
      <c r="FS25" s="30">
        <v>15</v>
      </c>
      <c r="FT25" s="30">
        <v>25</v>
      </c>
      <c r="FU25" s="30">
        <v>35</v>
      </c>
      <c r="FV25" s="30"/>
      <c r="FW25" s="30"/>
      <c r="FX25" s="30"/>
      <c r="FY25" s="30"/>
      <c r="FZ25" s="30"/>
      <c r="GA25" s="30"/>
      <c r="GB25" s="30"/>
      <c r="GC25" s="33">
        <v>10</v>
      </c>
      <c r="GD25" s="33">
        <v>18</v>
      </c>
      <c r="GE25" s="33">
        <v>21.666666666666668</v>
      </c>
      <c r="GF25" s="33">
        <v>10</v>
      </c>
      <c r="GG25" s="33">
        <v>25</v>
      </c>
      <c r="GH25" s="33">
        <v>11.25</v>
      </c>
      <c r="GI25" s="30" t="s">
        <v>235</v>
      </c>
      <c r="GJ25" s="33">
        <v>0</v>
      </c>
      <c r="GK25" s="30">
        <v>20</v>
      </c>
      <c r="GL25" s="30">
        <v>100</v>
      </c>
      <c r="GM25" s="30">
        <v>10</v>
      </c>
      <c r="GN25" s="30">
        <v>20</v>
      </c>
      <c r="GO25" s="30">
        <v>5</v>
      </c>
      <c r="GP25" s="30">
        <v>20</v>
      </c>
      <c r="GQ25" s="30">
        <v>25</v>
      </c>
      <c r="GR25" s="30">
        <v>15</v>
      </c>
      <c r="GS25" s="30">
        <v>12.5</v>
      </c>
      <c r="GT25" s="30">
        <v>50</v>
      </c>
      <c r="GU25" s="30">
        <v>50</v>
      </c>
      <c r="GV25" s="30">
        <v>40</v>
      </c>
      <c r="GW25" s="30">
        <v>40</v>
      </c>
      <c r="GX25" s="30">
        <v>35</v>
      </c>
      <c r="GY25" s="30">
        <v>40</v>
      </c>
      <c r="GZ25" s="30">
        <v>40</v>
      </c>
      <c r="HA25" s="30">
        <v>60</v>
      </c>
      <c r="HB25" s="30"/>
      <c r="HC25" s="30"/>
      <c r="HD25" s="30"/>
      <c r="HE25" s="30"/>
      <c r="HF25" s="30"/>
      <c r="HG25" s="30"/>
      <c r="HH25" s="30"/>
      <c r="HI25" s="30">
        <v>38.75</v>
      </c>
      <c r="HJ25" s="30">
        <v>43</v>
      </c>
      <c r="HK25" s="30">
        <v>46.666666666666664</v>
      </c>
      <c r="HL25" s="30">
        <v>37.5</v>
      </c>
      <c r="HM25" s="30">
        <v>46.666666666666664</v>
      </c>
      <c r="HN25" s="30">
        <v>38.75</v>
      </c>
      <c r="HO25" s="30" t="s">
        <v>235</v>
      </c>
      <c r="HP25" s="30">
        <v>1</v>
      </c>
      <c r="HQ25" s="30">
        <v>45</v>
      </c>
      <c r="HR25" s="30">
        <v>100</v>
      </c>
      <c r="HS25" s="30"/>
      <c r="HT25" s="30"/>
      <c r="HU25" s="30"/>
      <c r="HV25" s="50"/>
      <c r="HW25" s="30">
        <v>-44763</v>
      </c>
      <c r="HX25" s="30"/>
      <c r="HY25" s="30"/>
      <c r="HZ25" s="30"/>
      <c r="IA25" s="30"/>
      <c r="IB25" s="30"/>
      <c r="IC25" s="30"/>
      <c r="ID25" s="30"/>
      <c r="IE25" s="30">
        <v>0</v>
      </c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>
        <v>0</v>
      </c>
      <c r="IV25" s="30" t="e">
        <v>#DIV/0!</v>
      </c>
      <c r="IW25" s="30" t="e">
        <v>#DIV/0!</v>
      </c>
      <c r="IX25" s="30" t="e">
        <v>#DIV/0!</v>
      </c>
      <c r="IY25" s="30" t="e">
        <v>#DIV/0!</v>
      </c>
      <c r="IZ25" s="30" t="e">
        <v>#DIV/0!</v>
      </c>
      <c r="JA25" s="30" t="e">
        <v>#DIV/0!</v>
      </c>
      <c r="JB25" s="30" t="e">
        <v>#DIV/0!</v>
      </c>
      <c r="JC25" s="30"/>
      <c r="JD25" s="30"/>
      <c r="JE25" s="30"/>
      <c r="JF25" s="30"/>
      <c r="JG25" s="30"/>
      <c r="JH25" s="30"/>
      <c r="JI25" s="30"/>
      <c r="JJ25" s="30"/>
      <c r="JK25" s="30">
        <v>0</v>
      </c>
      <c r="JL25" s="30"/>
      <c r="JM25" s="30"/>
      <c r="JN25" s="30"/>
      <c r="JO25" s="30"/>
      <c r="JP25" s="30"/>
      <c r="JQ25" s="30"/>
      <c r="JR25" s="30"/>
      <c r="JS25" s="30"/>
      <c r="JT25" s="30" t="s">
        <v>277</v>
      </c>
      <c r="JU25" s="30" t="s">
        <v>277</v>
      </c>
      <c r="JV25" s="30" t="s">
        <v>277</v>
      </c>
      <c r="JW25" s="30" t="s">
        <v>277</v>
      </c>
      <c r="JX25" s="30" t="s">
        <v>277</v>
      </c>
      <c r="JY25" s="30" t="s">
        <v>277</v>
      </c>
      <c r="JZ25" s="30" t="s">
        <v>277</v>
      </c>
      <c r="KA25" s="30">
        <v>0</v>
      </c>
      <c r="KB25" s="30" t="e">
        <v>#DIV/0!</v>
      </c>
      <c r="KC25" s="30" t="e">
        <v>#DIV/0!</v>
      </c>
      <c r="KD25" s="30" t="e">
        <v>#DIV/0!</v>
      </c>
      <c r="KE25" s="30" t="e">
        <v>#DIV/0!</v>
      </c>
      <c r="KF25" s="30" t="e">
        <v>#DIV/0!</v>
      </c>
      <c r="KG25" s="30" t="e">
        <v>#DIV/0!</v>
      </c>
      <c r="KH25" s="30" t="e">
        <v>#DIV/0!</v>
      </c>
    </row>
    <row r="26" spans="1:299" s="1" customFormat="1" ht="132">
      <c r="A26" s="8" t="s">
        <v>616</v>
      </c>
      <c r="B26" s="1">
        <v>48</v>
      </c>
      <c r="C26" s="1">
        <v>40</v>
      </c>
      <c r="D26" s="1">
        <v>1</v>
      </c>
      <c r="E26" s="1" t="s">
        <v>592</v>
      </c>
      <c r="F26" s="73" t="s">
        <v>584</v>
      </c>
      <c r="G26" s="10">
        <v>44061</v>
      </c>
      <c r="H26" s="10">
        <v>44090</v>
      </c>
      <c r="I26" s="12" t="s">
        <v>22</v>
      </c>
      <c r="J26" s="10">
        <v>44091</v>
      </c>
      <c r="K26" s="30" t="s">
        <v>661</v>
      </c>
      <c r="L26" s="30" t="s">
        <v>671</v>
      </c>
      <c r="M26" s="14" t="s">
        <v>181</v>
      </c>
      <c r="N26" s="14" t="s">
        <v>180</v>
      </c>
      <c r="P26" s="10">
        <v>44090</v>
      </c>
      <c r="R26" s="10">
        <v>44277</v>
      </c>
      <c r="T26" s="35">
        <v>44090</v>
      </c>
      <c r="U26" s="30">
        <v>-1</v>
      </c>
      <c r="V26" s="30" t="s">
        <v>554</v>
      </c>
      <c r="W26" s="30">
        <v>20</v>
      </c>
      <c r="X26" s="30">
        <v>20</v>
      </c>
      <c r="Y26" s="30">
        <v>15</v>
      </c>
      <c r="Z26" s="30">
        <v>20</v>
      </c>
      <c r="AA26" s="30">
        <v>15</v>
      </c>
      <c r="AB26" s="30">
        <v>15</v>
      </c>
      <c r="AC26" s="33">
        <v>17.5</v>
      </c>
      <c r="AD26" s="30">
        <v>35</v>
      </c>
      <c r="AE26" s="30">
        <v>50</v>
      </c>
      <c r="AF26" s="30">
        <v>65</v>
      </c>
      <c r="AG26" s="30">
        <v>50</v>
      </c>
      <c r="AH26" s="30">
        <v>30</v>
      </c>
      <c r="AI26" s="30">
        <v>35</v>
      </c>
      <c r="AJ26" s="30">
        <v>20</v>
      </c>
      <c r="AK26" s="30">
        <v>45</v>
      </c>
      <c r="AL26" s="31" t="s">
        <v>234</v>
      </c>
      <c r="AM26" s="31" t="s">
        <v>234</v>
      </c>
      <c r="AN26" s="31" t="s">
        <v>234</v>
      </c>
      <c r="AO26" s="31" t="s">
        <v>234</v>
      </c>
      <c r="AP26" s="31" t="s">
        <v>234</v>
      </c>
      <c r="AQ26" s="31" t="s">
        <v>234</v>
      </c>
      <c r="AR26" s="31" t="s">
        <v>234</v>
      </c>
      <c r="AS26" s="33">
        <v>48.75</v>
      </c>
      <c r="AT26" s="33">
        <v>42</v>
      </c>
      <c r="AU26" s="33">
        <v>50</v>
      </c>
      <c r="AV26" s="33">
        <v>40</v>
      </c>
      <c r="AW26" s="33">
        <v>33.333333333333336</v>
      </c>
      <c r="AX26" s="33">
        <v>45</v>
      </c>
      <c r="AY26" s="34">
        <v>6</v>
      </c>
      <c r="AZ26" s="33">
        <v>2</v>
      </c>
      <c r="BA26" s="30"/>
      <c r="BB26" s="30"/>
      <c r="BC26" s="30">
        <v>10</v>
      </c>
      <c r="BD26" s="30">
        <v>20</v>
      </c>
      <c r="BE26" s="30">
        <v>15</v>
      </c>
      <c r="BF26" s="30">
        <v>5</v>
      </c>
      <c r="BG26" s="30">
        <v>10</v>
      </c>
      <c r="BH26" s="30">
        <v>10</v>
      </c>
      <c r="BI26" s="33">
        <v>13.75</v>
      </c>
      <c r="BJ26" s="30">
        <v>5</v>
      </c>
      <c r="BK26" s="30">
        <v>20</v>
      </c>
      <c r="BL26" s="30">
        <v>30</v>
      </c>
      <c r="BM26" s="30">
        <v>25</v>
      </c>
      <c r="BN26" s="30">
        <v>10</v>
      </c>
      <c r="BO26" s="30">
        <v>20</v>
      </c>
      <c r="BP26" s="30">
        <v>15</v>
      </c>
      <c r="BQ26" s="30">
        <v>40</v>
      </c>
      <c r="BR26" s="31" t="s">
        <v>234</v>
      </c>
      <c r="BS26" s="31" t="s">
        <v>234</v>
      </c>
      <c r="BT26" s="31" t="s">
        <v>234</v>
      </c>
      <c r="BU26" s="31" t="s">
        <v>234</v>
      </c>
      <c r="BV26" s="31" t="s">
        <v>234</v>
      </c>
      <c r="BW26" s="31" t="s">
        <v>234</v>
      </c>
      <c r="BX26" s="31" t="s">
        <v>234</v>
      </c>
      <c r="BY26" s="33">
        <v>22.5</v>
      </c>
      <c r="BZ26" s="33">
        <v>24</v>
      </c>
      <c r="CA26" s="33">
        <v>18.333333333333332</v>
      </c>
      <c r="CB26" s="33">
        <v>17.5</v>
      </c>
      <c r="CC26" s="33">
        <v>25</v>
      </c>
      <c r="CD26" s="33">
        <v>21.25</v>
      </c>
      <c r="CE26" s="31">
        <v>6</v>
      </c>
      <c r="CF26" s="33">
        <v>1</v>
      </c>
      <c r="CG26" s="30"/>
      <c r="CH26" s="30"/>
      <c r="CI26" s="31"/>
      <c r="CJ26" s="31"/>
      <c r="CK26" s="56"/>
      <c r="CL26" s="45">
        <v>44174</v>
      </c>
      <c r="CM26" s="30">
        <v>83</v>
      </c>
      <c r="CN26" s="30"/>
      <c r="CO26" s="30">
        <v>20</v>
      </c>
      <c r="CP26" s="30">
        <v>20</v>
      </c>
      <c r="CQ26" s="30">
        <v>20</v>
      </c>
      <c r="CR26" s="30">
        <v>25</v>
      </c>
      <c r="CS26" s="30">
        <v>15</v>
      </c>
      <c r="CT26" s="30">
        <v>15</v>
      </c>
      <c r="CU26" s="33">
        <v>21.25</v>
      </c>
      <c r="CV26" s="30">
        <v>25</v>
      </c>
      <c r="CW26" s="30">
        <v>45</v>
      </c>
      <c r="CX26" s="30">
        <v>70</v>
      </c>
      <c r="CY26" s="30">
        <v>50</v>
      </c>
      <c r="CZ26" s="30">
        <v>30</v>
      </c>
      <c r="DA26" s="30">
        <v>45</v>
      </c>
      <c r="DB26" s="30">
        <v>40</v>
      </c>
      <c r="DC26" s="30">
        <v>35</v>
      </c>
      <c r="DD26" s="30"/>
      <c r="DE26" s="30"/>
      <c r="DF26" s="30"/>
      <c r="DG26" s="30"/>
      <c r="DH26" s="30"/>
      <c r="DI26" s="30"/>
      <c r="DJ26" s="30"/>
      <c r="DK26" s="33">
        <v>50</v>
      </c>
      <c r="DL26" s="33">
        <v>45</v>
      </c>
      <c r="DM26" s="33">
        <v>46.666666666666664</v>
      </c>
      <c r="DN26" s="33">
        <v>40</v>
      </c>
      <c r="DO26" s="33">
        <v>40</v>
      </c>
      <c r="DP26" s="33">
        <v>48.75</v>
      </c>
      <c r="DQ26" s="30">
        <v>6</v>
      </c>
      <c r="DR26" s="33">
        <v>2</v>
      </c>
      <c r="DS26" s="30">
        <v>55</v>
      </c>
      <c r="DT26" s="30">
        <v>100</v>
      </c>
      <c r="DU26" s="30">
        <v>10</v>
      </c>
      <c r="DV26" s="30">
        <v>20</v>
      </c>
      <c r="DW26" s="30">
        <v>15</v>
      </c>
      <c r="DX26" s="30">
        <v>5</v>
      </c>
      <c r="DY26" s="30">
        <v>10</v>
      </c>
      <c r="DZ26" s="30">
        <v>10</v>
      </c>
      <c r="EA26" s="33">
        <v>13.75</v>
      </c>
      <c r="EB26" s="30">
        <v>20</v>
      </c>
      <c r="EC26" s="30">
        <v>25</v>
      </c>
      <c r="ED26" s="30">
        <v>40</v>
      </c>
      <c r="EE26" s="30">
        <v>25</v>
      </c>
      <c r="EF26" s="30">
        <v>15</v>
      </c>
      <c r="EG26" s="30">
        <v>20</v>
      </c>
      <c r="EH26" s="30">
        <v>15</v>
      </c>
      <c r="EI26" s="30">
        <v>35</v>
      </c>
      <c r="EJ26" s="30"/>
      <c r="EK26" s="30"/>
      <c r="EL26" s="30"/>
      <c r="EM26" s="30"/>
      <c r="EN26" s="30"/>
      <c r="EO26" s="30"/>
      <c r="EP26" s="30"/>
      <c r="EQ26" s="33">
        <v>26.25</v>
      </c>
      <c r="ER26" s="33">
        <v>26</v>
      </c>
      <c r="ES26" s="33">
        <v>28.333333333333332</v>
      </c>
      <c r="ET26" s="33">
        <v>20</v>
      </c>
      <c r="EU26" s="33">
        <v>23.333333333333332</v>
      </c>
      <c r="EV26" s="33">
        <v>25</v>
      </c>
      <c r="EW26" s="30">
        <v>6</v>
      </c>
      <c r="EX26" s="33">
        <v>1</v>
      </c>
      <c r="EY26" s="30">
        <v>30</v>
      </c>
      <c r="EZ26" s="30">
        <v>100</v>
      </c>
      <c r="FA26" s="30"/>
      <c r="FB26" s="30"/>
      <c r="FC26" s="56"/>
      <c r="FD26" s="69">
        <v>44277</v>
      </c>
      <c r="FE26" s="30">
        <v>186</v>
      </c>
      <c r="FF26" s="30"/>
      <c r="FG26" s="30">
        <v>5</v>
      </c>
      <c r="FH26" s="30">
        <v>25</v>
      </c>
      <c r="FI26" s="30">
        <v>15</v>
      </c>
      <c r="FJ26" s="30">
        <v>30</v>
      </c>
      <c r="FK26" s="30">
        <v>35</v>
      </c>
      <c r="FL26" s="30">
        <v>15</v>
      </c>
      <c r="FM26" s="33">
        <v>21.25</v>
      </c>
      <c r="FN26" s="30">
        <v>30</v>
      </c>
      <c r="FO26" s="30">
        <v>45</v>
      </c>
      <c r="FP26" s="30">
        <v>60</v>
      </c>
      <c r="FQ26" s="30">
        <v>50</v>
      </c>
      <c r="FR26" s="30">
        <v>35</v>
      </c>
      <c r="FS26" s="30">
        <v>45</v>
      </c>
      <c r="FT26" s="30">
        <v>40</v>
      </c>
      <c r="FU26" s="30">
        <v>40</v>
      </c>
      <c r="FV26" s="30"/>
      <c r="FW26" s="30"/>
      <c r="FX26" s="30"/>
      <c r="FY26" s="30"/>
      <c r="FZ26" s="30"/>
      <c r="GA26" s="30"/>
      <c r="GB26" s="30"/>
      <c r="GC26" s="33">
        <v>48.75</v>
      </c>
      <c r="GD26" s="33">
        <v>45</v>
      </c>
      <c r="GE26" s="33">
        <v>45</v>
      </c>
      <c r="GF26" s="33">
        <v>42.5</v>
      </c>
      <c r="GG26" s="33">
        <v>41.666666666666664</v>
      </c>
      <c r="GH26" s="33">
        <v>47.5</v>
      </c>
      <c r="GI26" s="30">
        <v>6</v>
      </c>
      <c r="GJ26" s="33">
        <v>2</v>
      </c>
      <c r="GK26" s="30">
        <v>50</v>
      </c>
      <c r="GL26" s="30">
        <v>100</v>
      </c>
      <c r="GM26" s="30">
        <v>15</v>
      </c>
      <c r="GN26" s="30">
        <v>20</v>
      </c>
      <c r="GO26" s="30">
        <v>30</v>
      </c>
      <c r="GP26" s="30">
        <v>10</v>
      </c>
      <c r="GQ26" s="30">
        <v>15</v>
      </c>
      <c r="GR26" s="30">
        <v>5</v>
      </c>
      <c r="GS26" s="30">
        <v>22.5</v>
      </c>
      <c r="GT26" s="30">
        <v>35</v>
      </c>
      <c r="GU26" s="30">
        <v>30</v>
      </c>
      <c r="GV26" s="30">
        <v>40</v>
      </c>
      <c r="GW26" s="30">
        <v>30</v>
      </c>
      <c r="GX26" s="30">
        <v>15</v>
      </c>
      <c r="GY26" s="30">
        <v>25</v>
      </c>
      <c r="GZ26" s="30">
        <v>15</v>
      </c>
      <c r="HA26" s="30">
        <v>60</v>
      </c>
      <c r="HB26" s="30"/>
      <c r="HC26" s="30"/>
      <c r="HD26" s="30"/>
      <c r="HE26" s="30"/>
      <c r="HF26" s="30"/>
      <c r="HG26" s="30"/>
      <c r="HH26" s="30"/>
      <c r="HI26" s="30">
        <v>28.75</v>
      </c>
      <c r="HJ26" s="30">
        <v>32</v>
      </c>
      <c r="HK26" s="30">
        <v>35</v>
      </c>
      <c r="HL26" s="30">
        <v>22.5</v>
      </c>
      <c r="HM26" s="30">
        <v>33.333333333333336</v>
      </c>
      <c r="HN26" s="30">
        <v>27.5</v>
      </c>
      <c r="HO26" s="30">
        <v>6</v>
      </c>
      <c r="HP26" s="30">
        <v>1</v>
      </c>
      <c r="HQ26" s="30">
        <v>30</v>
      </c>
      <c r="HR26" s="30">
        <v>100</v>
      </c>
      <c r="HS26" s="30"/>
      <c r="HT26" s="30"/>
      <c r="HU26" s="56"/>
      <c r="HV26" s="46"/>
      <c r="HW26" s="30">
        <v>-44091</v>
      </c>
      <c r="HX26" s="30"/>
      <c r="HY26" s="30"/>
      <c r="HZ26" s="30"/>
      <c r="IA26" s="30"/>
      <c r="IB26" s="30"/>
      <c r="IC26" s="30"/>
      <c r="ID26" s="30"/>
      <c r="IE26" s="30">
        <v>0</v>
      </c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>
        <v>0</v>
      </c>
      <c r="IV26" s="30" t="e">
        <v>#DIV/0!</v>
      </c>
      <c r="IW26" s="30" t="e">
        <v>#DIV/0!</v>
      </c>
      <c r="IX26" s="30" t="e">
        <v>#DIV/0!</v>
      </c>
      <c r="IY26" s="30" t="e">
        <v>#DIV/0!</v>
      </c>
      <c r="IZ26" s="30" t="e">
        <v>#DIV/0!</v>
      </c>
      <c r="JA26" s="30" t="e">
        <v>#DIV/0!</v>
      </c>
      <c r="JB26" s="30" t="e">
        <v>#DIV/0!</v>
      </c>
      <c r="JC26" s="30"/>
      <c r="JD26" s="30"/>
      <c r="JE26" s="30"/>
      <c r="JF26" s="30"/>
      <c r="JG26" s="30"/>
      <c r="JH26" s="30"/>
      <c r="JI26" s="30"/>
      <c r="JJ26" s="30"/>
      <c r="JK26" s="30">
        <v>0</v>
      </c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>
        <v>0</v>
      </c>
      <c r="KB26" s="30" t="e">
        <v>#DIV/0!</v>
      </c>
      <c r="KC26" s="30" t="e">
        <v>#DIV/0!</v>
      </c>
      <c r="KD26" s="30" t="e">
        <v>#DIV/0!</v>
      </c>
      <c r="KE26" s="30" t="e">
        <v>#DIV/0!</v>
      </c>
      <c r="KF26" s="30" t="e">
        <v>#DIV/0!</v>
      </c>
      <c r="KG26" s="30" t="e">
        <v>#DIV/0!</v>
      </c>
      <c r="KH26" s="30" t="e">
        <v>#DIV/0!</v>
      </c>
    </row>
    <row r="27" spans="1:299" s="1" customFormat="1" ht="66">
      <c r="A27" s="8" t="s">
        <v>617</v>
      </c>
      <c r="B27" s="1">
        <v>71</v>
      </c>
      <c r="C27" s="20">
        <v>70</v>
      </c>
      <c r="D27" s="1">
        <v>2</v>
      </c>
      <c r="E27" s="1" t="s">
        <v>590</v>
      </c>
      <c r="F27" s="87">
        <v>21113</v>
      </c>
      <c r="G27" s="1" t="s">
        <v>24</v>
      </c>
      <c r="H27" s="1" t="s">
        <v>25</v>
      </c>
      <c r="I27" s="1" t="s">
        <v>22</v>
      </c>
      <c r="J27" s="10">
        <v>45189</v>
      </c>
      <c r="K27" s="30" t="s">
        <v>685</v>
      </c>
      <c r="L27" s="79" t="s">
        <v>719</v>
      </c>
      <c r="M27" s="1" t="s">
        <v>146</v>
      </c>
      <c r="N27" s="1" t="s">
        <v>142</v>
      </c>
      <c r="P27" s="10">
        <v>45182</v>
      </c>
      <c r="R27" s="10">
        <v>45364</v>
      </c>
      <c r="T27" s="10">
        <v>45167</v>
      </c>
      <c r="U27" s="30">
        <v>-22</v>
      </c>
      <c r="V27" s="1" t="s">
        <v>554</v>
      </c>
      <c r="W27" s="1">
        <v>40</v>
      </c>
      <c r="X27" s="1">
        <v>50</v>
      </c>
      <c r="Y27" s="1">
        <v>55</v>
      </c>
      <c r="Z27" s="1">
        <v>60</v>
      </c>
      <c r="AA27" s="1">
        <v>60</v>
      </c>
      <c r="AB27" s="1">
        <v>60</v>
      </c>
      <c r="AC27" s="1">
        <v>55</v>
      </c>
      <c r="AD27" s="1">
        <v>70</v>
      </c>
      <c r="AE27" s="1">
        <v>65</v>
      </c>
      <c r="AF27" s="1">
        <v>60</v>
      </c>
      <c r="AG27" s="1">
        <v>80</v>
      </c>
      <c r="AH27" s="1">
        <v>65</v>
      </c>
      <c r="AI27" s="1">
        <v>60</v>
      </c>
      <c r="AJ27" s="1">
        <v>75</v>
      </c>
      <c r="AK27" s="1">
        <v>65</v>
      </c>
      <c r="AS27" s="33">
        <v>71.25</v>
      </c>
      <c r="AT27" s="33">
        <v>69</v>
      </c>
      <c r="AU27" s="33">
        <v>65</v>
      </c>
      <c r="AV27" s="33">
        <v>72.5</v>
      </c>
      <c r="AW27" s="33">
        <v>66.666666666666671</v>
      </c>
      <c r="AX27" s="33">
        <v>66.25</v>
      </c>
      <c r="AY27" s="1">
        <v>6</v>
      </c>
      <c r="AZ27" s="33">
        <v>3</v>
      </c>
      <c r="BA27" s="1">
        <v>60</v>
      </c>
      <c r="BB27" s="1">
        <v>92</v>
      </c>
      <c r="BC27" s="1">
        <v>40</v>
      </c>
      <c r="BD27" s="1">
        <v>35</v>
      </c>
      <c r="BE27" s="1">
        <v>35</v>
      </c>
      <c r="BF27" s="1">
        <v>35</v>
      </c>
      <c r="BG27" s="1">
        <v>40</v>
      </c>
      <c r="BH27" s="1">
        <v>50</v>
      </c>
      <c r="BI27" s="33">
        <v>35</v>
      </c>
      <c r="BJ27" s="1">
        <v>35</v>
      </c>
      <c r="BK27" s="1">
        <v>40</v>
      </c>
      <c r="BL27" s="1">
        <v>35</v>
      </c>
      <c r="BM27" s="1">
        <v>35</v>
      </c>
      <c r="BN27" s="1">
        <v>35</v>
      </c>
      <c r="BO27" s="1">
        <v>40</v>
      </c>
      <c r="BP27" s="1">
        <v>50</v>
      </c>
      <c r="BQ27" s="1">
        <v>45</v>
      </c>
      <c r="BY27" s="33">
        <v>35</v>
      </c>
      <c r="BZ27" s="33">
        <v>40</v>
      </c>
      <c r="CA27" s="33">
        <v>36.666666666666664</v>
      </c>
      <c r="CB27" s="33">
        <v>35</v>
      </c>
      <c r="CC27" s="33">
        <v>45</v>
      </c>
      <c r="CD27" s="33">
        <v>36.25</v>
      </c>
      <c r="CE27" s="1">
        <v>4</v>
      </c>
      <c r="CF27" s="33">
        <v>1</v>
      </c>
      <c r="CG27" s="1">
        <v>30</v>
      </c>
      <c r="CH27" s="1">
        <v>96</v>
      </c>
      <c r="CL27" s="10">
        <v>45273</v>
      </c>
      <c r="CM27" s="30">
        <v>84</v>
      </c>
      <c r="CO27" s="1">
        <v>35</v>
      </c>
      <c r="CP27" s="1">
        <v>50</v>
      </c>
      <c r="CQ27" s="1">
        <v>60</v>
      </c>
      <c r="CR27" s="1">
        <v>65</v>
      </c>
      <c r="CS27" s="1">
        <v>60</v>
      </c>
      <c r="CT27" s="1">
        <v>55</v>
      </c>
      <c r="CU27" s="33">
        <v>58.75</v>
      </c>
      <c r="CV27" s="1">
        <v>75</v>
      </c>
      <c r="CW27" s="1">
        <v>65</v>
      </c>
      <c r="CX27" s="1">
        <v>65</v>
      </c>
      <c r="CY27" s="1">
        <v>85</v>
      </c>
      <c r="CZ27" s="1">
        <v>65</v>
      </c>
      <c r="DA27" s="1">
        <v>60</v>
      </c>
      <c r="DB27" s="1">
        <v>70</v>
      </c>
      <c r="DC27" s="1">
        <v>65</v>
      </c>
      <c r="DK27" s="33">
        <v>75</v>
      </c>
      <c r="DL27" s="33">
        <v>70</v>
      </c>
      <c r="DM27" s="33">
        <v>68.333333333333329</v>
      </c>
      <c r="DN27" s="33">
        <v>75</v>
      </c>
      <c r="DO27" s="33">
        <v>65</v>
      </c>
      <c r="DP27" s="33">
        <v>68.75</v>
      </c>
      <c r="DQ27" s="1">
        <v>6</v>
      </c>
      <c r="DR27" s="33">
        <v>3</v>
      </c>
      <c r="DS27" s="1">
        <v>60</v>
      </c>
      <c r="DT27" s="1">
        <v>92</v>
      </c>
      <c r="DU27" s="1">
        <v>35</v>
      </c>
      <c r="DV27" s="1">
        <v>40</v>
      </c>
      <c r="DW27" s="1">
        <v>35</v>
      </c>
      <c r="DX27" s="1">
        <v>35</v>
      </c>
      <c r="DY27" s="1">
        <v>35</v>
      </c>
      <c r="DZ27" s="1">
        <v>45</v>
      </c>
      <c r="EA27" s="33">
        <v>36.25</v>
      </c>
      <c r="EB27" s="1">
        <v>35</v>
      </c>
      <c r="EC27" s="1">
        <v>35</v>
      </c>
      <c r="ED27" s="1">
        <v>40</v>
      </c>
      <c r="EE27" s="1">
        <v>35</v>
      </c>
      <c r="EF27" s="1">
        <v>35</v>
      </c>
      <c r="EG27" s="1">
        <v>35</v>
      </c>
      <c r="EH27" s="1">
        <v>45</v>
      </c>
      <c r="EI27" s="1">
        <v>45</v>
      </c>
      <c r="EQ27" s="33">
        <v>36.25</v>
      </c>
      <c r="ER27" s="33">
        <v>40</v>
      </c>
      <c r="ES27" s="33">
        <v>36.666666666666664</v>
      </c>
      <c r="ET27" s="33">
        <v>35</v>
      </c>
      <c r="EU27" s="33">
        <v>41.666666666666664</v>
      </c>
      <c r="EV27" s="33">
        <v>36.25</v>
      </c>
      <c r="EW27" s="1">
        <v>4</v>
      </c>
      <c r="EX27" s="33">
        <v>1</v>
      </c>
      <c r="EY27" s="1">
        <v>30</v>
      </c>
      <c r="EZ27" s="1">
        <v>100</v>
      </c>
      <c r="FD27" s="10">
        <v>45364</v>
      </c>
      <c r="FE27" s="30">
        <v>175</v>
      </c>
      <c r="FG27" s="1">
        <v>35</v>
      </c>
      <c r="FH27" s="1">
        <v>50</v>
      </c>
      <c r="FI27" s="1">
        <v>50</v>
      </c>
      <c r="FJ27" s="1">
        <v>60</v>
      </c>
      <c r="FK27" s="1">
        <v>60</v>
      </c>
      <c r="FL27" s="1">
        <v>50</v>
      </c>
      <c r="FM27" s="33">
        <v>52.5</v>
      </c>
      <c r="FN27" s="1">
        <v>75</v>
      </c>
      <c r="FO27" s="1">
        <v>75</v>
      </c>
      <c r="FP27" s="1">
        <v>65</v>
      </c>
      <c r="FQ27" s="1">
        <v>80</v>
      </c>
      <c r="FR27" s="1">
        <v>65</v>
      </c>
      <c r="FS27" s="1">
        <v>60</v>
      </c>
      <c r="FT27" s="1">
        <v>70</v>
      </c>
      <c r="FU27" s="1">
        <v>60</v>
      </c>
      <c r="GC27" s="33">
        <v>72.5</v>
      </c>
      <c r="GD27" s="33">
        <v>68</v>
      </c>
      <c r="GE27" s="33">
        <v>71.666666666666671</v>
      </c>
      <c r="GF27" s="33">
        <v>72.5</v>
      </c>
      <c r="GG27" s="33">
        <v>63.333333333333336</v>
      </c>
      <c r="GH27" s="33">
        <v>67.5</v>
      </c>
      <c r="GI27" s="1">
        <v>6</v>
      </c>
      <c r="GJ27" s="33">
        <v>3</v>
      </c>
      <c r="GK27" s="1">
        <v>65</v>
      </c>
      <c r="GL27" s="1">
        <v>92</v>
      </c>
      <c r="GM27" s="1">
        <v>30</v>
      </c>
      <c r="GN27" s="1">
        <v>30</v>
      </c>
      <c r="GO27" s="1">
        <v>40</v>
      </c>
      <c r="GP27" s="1">
        <v>45</v>
      </c>
      <c r="GQ27" s="1">
        <v>45</v>
      </c>
      <c r="GR27" s="1">
        <v>50</v>
      </c>
      <c r="GS27" s="30">
        <v>38.75</v>
      </c>
      <c r="GT27" s="1">
        <v>30</v>
      </c>
      <c r="GU27" s="1">
        <v>30</v>
      </c>
      <c r="GV27" s="1">
        <v>30</v>
      </c>
      <c r="GW27" s="1">
        <v>40</v>
      </c>
      <c r="GX27" s="1">
        <v>45</v>
      </c>
      <c r="GY27" s="1">
        <v>45</v>
      </c>
      <c r="GZ27" s="1">
        <v>50</v>
      </c>
      <c r="HA27" s="1">
        <v>45</v>
      </c>
      <c r="HI27" s="30">
        <v>38.75</v>
      </c>
      <c r="HJ27" s="30">
        <v>42</v>
      </c>
      <c r="HK27" s="30">
        <v>30</v>
      </c>
      <c r="HL27" s="30">
        <v>42.5</v>
      </c>
      <c r="HM27" s="30">
        <v>46.666666666666664</v>
      </c>
      <c r="HN27" s="30">
        <v>40</v>
      </c>
      <c r="HO27" s="1">
        <v>3</v>
      </c>
      <c r="HP27" s="30">
        <v>1</v>
      </c>
      <c r="HQ27" s="1">
        <v>30</v>
      </c>
      <c r="HR27" s="1">
        <v>100</v>
      </c>
      <c r="HW27" s="30">
        <v>-45189</v>
      </c>
      <c r="IE27" s="30">
        <v>0</v>
      </c>
      <c r="IU27" s="30">
        <v>0</v>
      </c>
      <c r="IV27" s="30" t="e">
        <v>#DIV/0!</v>
      </c>
      <c r="IW27" s="30" t="e">
        <v>#DIV/0!</v>
      </c>
      <c r="IX27" s="30" t="e">
        <v>#DIV/0!</v>
      </c>
      <c r="IY27" s="30" t="e">
        <v>#DIV/0!</v>
      </c>
      <c r="IZ27" s="30" t="e">
        <v>#DIV/0!</v>
      </c>
      <c r="JB27" s="30" t="e">
        <v>#DIV/0!</v>
      </c>
      <c r="JK27" s="30">
        <v>0</v>
      </c>
      <c r="KA27" s="30">
        <v>0</v>
      </c>
      <c r="KB27" s="30" t="e">
        <v>#DIV/0!</v>
      </c>
      <c r="KC27" s="30" t="e">
        <v>#DIV/0!</v>
      </c>
      <c r="KD27" s="30" t="e">
        <v>#DIV/0!</v>
      </c>
      <c r="KE27" s="30" t="e">
        <v>#DIV/0!</v>
      </c>
      <c r="KF27" s="30" t="e">
        <v>#DIV/0!</v>
      </c>
      <c r="KH27" s="30" t="e">
        <v>#DIV/0!</v>
      </c>
    </row>
    <row r="28" spans="1:299" s="1" customFormat="1">
      <c r="A28" s="8" t="s">
        <v>618</v>
      </c>
      <c r="B28" s="1">
        <v>23</v>
      </c>
      <c r="C28" s="20">
        <v>20</v>
      </c>
      <c r="D28" s="1">
        <v>2</v>
      </c>
      <c r="E28" s="1" t="s">
        <v>588</v>
      </c>
      <c r="F28" s="1">
        <v>21112</v>
      </c>
      <c r="G28" s="12" t="s">
        <v>43</v>
      </c>
      <c r="H28" s="12" t="s">
        <v>42</v>
      </c>
      <c r="I28" s="12" t="s">
        <v>22</v>
      </c>
      <c r="J28" s="13">
        <v>44998</v>
      </c>
      <c r="K28" s="30" t="s">
        <v>664</v>
      </c>
      <c r="L28" s="30" t="s">
        <v>682</v>
      </c>
      <c r="M28" s="1" t="s">
        <v>128</v>
      </c>
      <c r="N28" s="12" t="s">
        <v>115</v>
      </c>
      <c r="O28" s="1">
        <v>0</v>
      </c>
      <c r="P28" s="10">
        <v>44993</v>
      </c>
      <c r="R28" s="10">
        <v>45222</v>
      </c>
      <c r="T28" s="32">
        <v>44993</v>
      </c>
      <c r="U28" s="30">
        <v>-5</v>
      </c>
      <c r="V28" s="30"/>
      <c r="W28" s="30">
        <v>10</v>
      </c>
      <c r="X28" s="30">
        <v>25</v>
      </c>
      <c r="Y28" s="30">
        <v>0</v>
      </c>
      <c r="Z28" s="30">
        <v>25</v>
      </c>
      <c r="AA28" s="30">
        <v>25</v>
      </c>
      <c r="AB28" s="30">
        <v>15</v>
      </c>
      <c r="AC28" s="33">
        <v>12.5</v>
      </c>
      <c r="AD28" s="30">
        <v>25</v>
      </c>
      <c r="AE28" s="30">
        <v>30</v>
      </c>
      <c r="AF28" s="30">
        <v>35</v>
      </c>
      <c r="AG28" s="30">
        <v>25</v>
      </c>
      <c r="AH28" s="30">
        <v>35</v>
      </c>
      <c r="AI28" s="30">
        <v>40</v>
      </c>
      <c r="AJ28" s="30">
        <v>35</v>
      </c>
      <c r="AK28" s="30">
        <v>35</v>
      </c>
      <c r="AL28" s="31" t="s">
        <v>234</v>
      </c>
      <c r="AM28" s="31" t="s">
        <v>234</v>
      </c>
      <c r="AN28" s="31" t="s">
        <v>234</v>
      </c>
      <c r="AO28" s="31" t="s">
        <v>234</v>
      </c>
      <c r="AP28" s="31" t="s">
        <v>234</v>
      </c>
      <c r="AQ28" s="31" t="s">
        <v>234</v>
      </c>
      <c r="AR28" s="31" t="s">
        <v>234</v>
      </c>
      <c r="AS28" s="33">
        <v>30</v>
      </c>
      <c r="AT28" s="33">
        <v>33</v>
      </c>
      <c r="AU28" s="33">
        <v>30</v>
      </c>
      <c r="AV28" s="33">
        <v>30</v>
      </c>
      <c r="AW28" s="33">
        <v>36.666666666666664</v>
      </c>
      <c r="AX28" s="33">
        <v>33.75</v>
      </c>
      <c r="AY28" s="34">
        <v>3</v>
      </c>
      <c r="AZ28" s="33">
        <v>1</v>
      </c>
      <c r="BA28" s="30">
        <v>40</v>
      </c>
      <c r="BB28" s="30">
        <v>100</v>
      </c>
      <c r="BC28" s="30">
        <v>10</v>
      </c>
      <c r="BD28" s="30">
        <v>15</v>
      </c>
      <c r="BE28" s="30">
        <v>10</v>
      </c>
      <c r="BF28" s="30">
        <v>10</v>
      </c>
      <c r="BG28" s="30">
        <v>10</v>
      </c>
      <c r="BH28" s="30">
        <v>15</v>
      </c>
      <c r="BI28" s="33">
        <v>11.25</v>
      </c>
      <c r="BJ28" s="30">
        <v>15</v>
      </c>
      <c r="BK28" s="30">
        <v>10</v>
      </c>
      <c r="BL28" s="30">
        <v>15</v>
      </c>
      <c r="BM28" s="30">
        <v>10</v>
      </c>
      <c r="BN28" s="30">
        <v>10</v>
      </c>
      <c r="BO28" s="30">
        <v>10</v>
      </c>
      <c r="BP28" s="30">
        <v>15</v>
      </c>
      <c r="BQ28" s="30">
        <v>15</v>
      </c>
      <c r="BR28" s="31" t="s">
        <v>234</v>
      </c>
      <c r="BS28" s="31" t="s">
        <v>234</v>
      </c>
      <c r="BT28" s="31" t="s">
        <v>234</v>
      </c>
      <c r="BU28" s="31" t="s">
        <v>234</v>
      </c>
      <c r="BV28" s="31" t="s">
        <v>234</v>
      </c>
      <c r="BW28" s="31" t="s">
        <v>234</v>
      </c>
      <c r="BX28" s="31" t="s">
        <v>234</v>
      </c>
      <c r="BY28" s="33">
        <v>11.25</v>
      </c>
      <c r="BZ28" s="33">
        <v>13</v>
      </c>
      <c r="CA28" s="33">
        <v>13.333333333333334</v>
      </c>
      <c r="CB28" s="33">
        <v>10</v>
      </c>
      <c r="CC28" s="33">
        <v>13.333333333333334</v>
      </c>
      <c r="CD28" s="33">
        <v>11.25</v>
      </c>
      <c r="CE28" s="30">
        <v>4</v>
      </c>
      <c r="CF28" s="33">
        <v>0</v>
      </c>
      <c r="CG28" s="30">
        <v>15</v>
      </c>
      <c r="CH28" s="30">
        <v>100</v>
      </c>
      <c r="CI28" s="30" t="s">
        <v>349</v>
      </c>
      <c r="CJ28" s="30" t="s">
        <v>350</v>
      </c>
      <c r="CK28" s="48"/>
      <c r="CL28" s="32">
        <v>45111</v>
      </c>
      <c r="CM28" s="30">
        <v>113</v>
      </c>
      <c r="CN28" s="30"/>
      <c r="CO28" s="30">
        <v>10</v>
      </c>
      <c r="CP28" s="30">
        <v>20</v>
      </c>
      <c r="CQ28" s="30">
        <v>0</v>
      </c>
      <c r="CR28" s="30">
        <v>25</v>
      </c>
      <c r="CS28" s="30">
        <v>20</v>
      </c>
      <c r="CT28" s="30">
        <v>15</v>
      </c>
      <c r="CU28" s="33">
        <v>11.25</v>
      </c>
      <c r="CV28" s="30">
        <v>20</v>
      </c>
      <c r="CW28" s="30">
        <v>20</v>
      </c>
      <c r="CX28" s="30">
        <v>20</v>
      </c>
      <c r="CY28" s="30">
        <v>15</v>
      </c>
      <c r="CZ28" s="30">
        <v>25</v>
      </c>
      <c r="DA28" s="30">
        <v>25</v>
      </c>
      <c r="DB28" s="30">
        <v>25</v>
      </c>
      <c r="DC28" s="30">
        <v>35</v>
      </c>
      <c r="DD28" s="30" t="s">
        <v>277</v>
      </c>
      <c r="DE28" s="30" t="s">
        <v>277</v>
      </c>
      <c r="DF28" s="30" t="s">
        <v>277</v>
      </c>
      <c r="DG28" s="30" t="s">
        <v>277</v>
      </c>
      <c r="DH28" s="30" t="s">
        <v>277</v>
      </c>
      <c r="DI28" s="30" t="s">
        <v>277</v>
      </c>
      <c r="DJ28" s="30" t="s">
        <v>277</v>
      </c>
      <c r="DK28" s="33">
        <v>18.75</v>
      </c>
      <c r="DL28" s="33">
        <v>24</v>
      </c>
      <c r="DM28" s="33">
        <v>20</v>
      </c>
      <c r="DN28" s="33">
        <v>20</v>
      </c>
      <c r="DO28" s="33">
        <v>28.333333333333332</v>
      </c>
      <c r="DP28" s="33">
        <v>21.25</v>
      </c>
      <c r="DQ28" s="30">
        <v>3</v>
      </c>
      <c r="DR28" s="33">
        <v>1</v>
      </c>
      <c r="DS28" s="30">
        <v>25</v>
      </c>
      <c r="DT28" s="30">
        <v>100</v>
      </c>
      <c r="DU28" s="30">
        <v>10</v>
      </c>
      <c r="DV28" s="30">
        <v>10</v>
      </c>
      <c r="DW28" s="30">
        <v>15</v>
      </c>
      <c r="DX28" s="30">
        <v>10</v>
      </c>
      <c r="DY28" s="30">
        <v>15</v>
      </c>
      <c r="DZ28" s="30">
        <v>10</v>
      </c>
      <c r="EA28" s="33">
        <v>12.5</v>
      </c>
      <c r="EB28" s="30">
        <v>25</v>
      </c>
      <c r="EC28" s="30">
        <v>15</v>
      </c>
      <c r="ED28" s="30">
        <v>10</v>
      </c>
      <c r="EE28" s="30">
        <v>15</v>
      </c>
      <c r="EF28" s="30">
        <v>15</v>
      </c>
      <c r="EG28" s="30">
        <v>15</v>
      </c>
      <c r="EH28" s="30">
        <v>15</v>
      </c>
      <c r="EI28" s="30">
        <v>20</v>
      </c>
      <c r="EJ28" s="30" t="s">
        <v>277</v>
      </c>
      <c r="EK28" s="30" t="s">
        <v>277</v>
      </c>
      <c r="EL28" s="30" t="s">
        <v>277</v>
      </c>
      <c r="EM28" s="30" t="s">
        <v>277</v>
      </c>
      <c r="EN28" s="30" t="s">
        <v>277</v>
      </c>
      <c r="EO28" s="30" t="s">
        <v>277</v>
      </c>
      <c r="EP28" s="30" t="s">
        <v>277</v>
      </c>
      <c r="EQ28" s="33">
        <v>13.75</v>
      </c>
      <c r="ER28" s="33">
        <v>15</v>
      </c>
      <c r="ES28" s="33">
        <v>16.666666666666668</v>
      </c>
      <c r="ET28" s="33">
        <v>15</v>
      </c>
      <c r="EU28" s="33">
        <v>16.666666666666668</v>
      </c>
      <c r="EV28" s="33">
        <v>13.75</v>
      </c>
      <c r="EW28" s="30">
        <v>4</v>
      </c>
      <c r="EX28" s="33">
        <v>0</v>
      </c>
      <c r="EY28" s="30">
        <v>15</v>
      </c>
      <c r="EZ28" s="30">
        <v>100</v>
      </c>
      <c r="FA28" s="30" t="s">
        <v>351</v>
      </c>
      <c r="FB28" s="30" t="s">
        <v>352</v>
      </c>
      <c r="FC28" s="48"/>
      <c r="FD28" s="32">
        <v>45222</v>
      </c>
      <c r="FE28" s="30">
        <v>224</v>
      </c>
      <c r="FF28" s="30"/>
      <c r="FG28" s="30">
        <v>10</v>
      </c>
      <c r="FH28" s="30">
        <v>20</v>
      </c>
      <c r="FI28" s="30">
        <v>5</v>
      </c>
      <c r="FJ28" s="30">
        <v>25</v>
      </c>
      <c r="FK28" s="30">
        <v>20</v>
      </c>
      <c r="FL28" s="30">
        <v>15</v>
      </c>
      <c r="FM28" s="33">
        <v>13.75</v>
      </c>
      <c r="FN28" s="30">
        <v>20</v>
      </c>
      <c r="FO28" s="30">
        <v>20</v>
      </c>
      <c r="FP28" s="30">
        <v>20</v>
      </c>
      <c r="FQ28" s="30">
        <v>20</v>
      </c>
      <c r="FR28" s="30">
        <v>25</v>
      </c>
      <c r="FS28" s="30">
        <v>20</v>
      </c>
      <c r="FT28" s="30">
        <v>25</v>
      </c>
      <c r="FU28" s="30">
        <v>45</v>
      </c>
      <c r="FV28" s="30" t="s">
        <v>234</v>
      </c>
      <c r="FW28" s="30" t="s">
        <v>234</v>
      </c>
      <c r="FX28" s="30" t="s">
        <v>234</v>
      </c>
      <c r="FY28" s="30" t="s">
        <v>234</v>
      </c>
      <c r="FZ28" s="30" t="s">
        <v>234</v>
      </c>
      <c r="GA28" s="30" t="s">
        <v>234</v>
      </c>
      <c r="GB28" s="30" t="s">
        <v>234</v>
      </c>
      <c r="GC28" s="33">
        <v>21.25</v>
      </c>
      <c r="GD28" s="33">
        <v>27</v>
      </c>
      <c r="GE28" s="33">
        <v>20</v>
      </c>
      <c r="GF28" s="33">
        <v>22.5</v>
      </c>
      <c r="GG28" s="33">
        <v>30</v>
      </c>
      <c r="GH28" s="33">
        <v>21.25</v>
      </c>
      <c r="GI28" s="30">
        <v>3</v>
      </c>
      <c r="GJ28" s="33">
        <v>1</v>
      </c>
      <c r="GK28" s="30">
        <v>15</v>
      </c>
      <c r="GL28" s="30">
        <v>100</v>
      </c>
      <c r="GM28" s="30">
        <v>10</v>
      </c>
      <c r="GN28" s="30">
        <v>15</v>
      </c>
      <c r="GO28" s="30">
        <v>15</v>
      </c>
      <c r="GP28" s="30">
        <v>10</v>
      </c>
      <c r="GQ28" s="30">
        <v>15</v>
      </c>
      <c r="GR28" s="30">
        <v>15</v>
      </c>
      <c r="GS28" s="30">
        <v>13.75</v>
      </c>
      <c r="GT28" s="30">
        <v>30</v>
      </c>
      <c r="GU28" s="30">
        <v>20</v>
      </c>
      <c r="GV28" s="30">
        <v>15</v>
      </c>
      <c r="GW28" s="30">
        <v>20</v>
      </c>
      <c r="GX28" s="30">
        <v>10</v>
      </c>
      <c r="GY28" s="30">
        <v>15</v>
      </c>
      <c r="GZ28" s="30">
        <v>15</v>
      </c>
      <c r="HA28" s="30">
        <v>25</v>
      </c>
      <c r="HB28" s="30" t="s">
        <v>277</v>
      </c>
      <c r="HC28" s="30" t="s">
        <v>277</v>
      </c>
      <c r="HD28" s="30" t="s">
        <v>277</v>
      </c>
      <c r="HE28" s="30" t="s">
        <v>277</v>
      </c>
      <c r="HF28" s="30" t="s">
        <v>277</v>
      </c>
      <c r="HG28" s="30" t="s">
        <v>277</v>
      </c>
      <c r="HH28" s="30" t="s">
        <v>277</v>
      </c>
      <c r="HI28" s="30">
        <v>16.25</v>
      </c>
      <c r="HJ28" s="30">
        <v>17</v>
      </c>
      <c r="HK28" s="30">
        <v>21.666666666666668</v>
      </c>
      <c r="HL28" s="30">
        <v>15</v>
      </c>
      <c r="HM28" s="30">
        <v>18.333333333333332</v>
      </c>
      <c r="HN28" s="30">
        <v>15</v>
      </c>
      <c r="HO28" s="30">
        <v>6</v>
      </c>
      <c r="HP28" s="30">
        <v>0</v>
      </c>
      <c r="HQ28" s="30">
        <v>15</v>
      </c>
      <c r="HR28" s="30">
        <v>100</v>
      </c>
      <c r="HS28" s="30" t="s">
        <v>353</v>
      </c>
      <c r="HT28" s="30" t="s">
        <v>354</v>
      </c>
      <c r="HU28" s="48"/>
      <c r="HV28" s="32">
        <v>45355</v>
      </c>
      <c r="HW28" s="30">
        <v>357</v>
      </c>
      <c r="HX28" s="30"/>
      <c r="HY28" s="30">
        <v>10</v>
      </c>
      <c r="HZ28" s="30">
        <v>30</v>
      </c>
      <c r="IA28" s="30">
        <v>5</v>
      </c>
      <c r="IB28" s="30">
        <v>25</v>
      </c>
      <c r="IC28" s="30">
        <v>15</v>
      </c>
      <c r="ID28" s="30">
        <v>20</v>
      </c>
      <c r="IE28" s="30">
        <v>16.25</v>
      </c>
      <c r="IF28" s="30">
        <v>25</v>
      </c>
      <c r="IG28" s="30">
        <v>25</v>
      </c>
      <c r="IH28" s="30">
        <v>30</v>
      </c>
      <c r="II28" s="30">
        <v>20</v>
      </c>
      <c r="IJ28" s="30">
        <v>25</v>
      </c>
      <c r="IK28" s="30">
        <v>15</v>
      </c>
      <c r="IL28" s="30">
        <v>20</v>
      </c>
      <c r="IM28" s="30">
        <v>55</v>
      </c>
      <c r="IN28" s="30" t="s">
        <v>277</v>
      </c>
      <c r="IO28" s="30" t="s">
        <v>277</v>
      </c>
      <c r="IP28" s="30" t="s">
        <v>277</v>
      </c>
      <c r="IQ28" s="30" t="s">
        <v>277</v>
      </c>
      <c r="IR28" s="30" t="s">
        <v>277</v>
      </c>
      <c r="IS28" s="30" t="s">
        <v>277</v>
      </c>
      <c r="IT28" s="30" t="s">
        <v>277</v>
      </c>
      <c r="IU28" s="30">
        <v>23.75</v>
      </c>
      <c r="IV28" s="30">
        <v>30</v>
      </c>
      <c r="IW28" s="30">
        <v>26.666666666666668</v>
      </c>
      <c r="IX28" s="30">
        <v>22.5</v>
      </c>
      <c r="IY28" s="30">
        <v>30</v>
      </c>
      <c r="IZ28" s="30">
        <v>22.5</v>
      </c>
      <c r="JA28" s="30">
        <v>6</v>
      </c>
      <c r="JB28" s="30">
        <v>1</v>
      </c>
      <c r="JC28" s="30">
        <v>25</v>
      </c>
      <c r="JD28" s="30">
        <v>100</v>
      </c>
      <c r="JE28" s="30">
        <v>10</v>
      </c>
      <c r="JF28" s="30">
        <v>10</v>
      </c>
      <c r="JG28" s="30">
        <v>15</v>
      </c>
      <c r="JH28" s="30">
        <v>15</v>
      </c>
      <c r="JI28" s="30">
        <v>15</v>
      </c>
      <c r="JJ28" s="30">
        <v>15</v>
      </c>
      <c r="JK28" s="30">
        <v>13.75</v>
      </c>
      <c r="JL28" s="30">
        <v>30</v>
      </c>
      <c r="JM28" s="30">
        <v>20</v>
      </c>
      <c r="JN28" s="30">
        <v>10</v>
      </c>
      <c r="JO28" s="30">
        <v>15</v>
      </c>
      <c r="JP28" s="30">
        <v>15</v>
      </c>
      <c r="JQ28" s="30">
        <v>15</v>
      </c>
      <c r="JR28" s="30">
        <v>15</v>
      </c>
      <c r="JS28" s="30">
        <v>25</v>
      </c>
      <c r="JT28" s="30" t="s">
        <v>277</v>
      </c>
      <c r="JU28" s="30" t="s">
        <v>277</v>
      </c>
      <c r="JV28" s="30" t="s">
        <v>277</v>
      </c>
      <c r="JW28" s="30" t="s">
        <v>277</v>
      </c>
      <c r="JX28" s="30" t="s">
        <v>277</v>
      </c>
      <c r="JY28" s="30" t="s">
        <v>277</v>
      </c>
      <c r="JZ28" s="30" t="s">
        <v>277</v>
      </c>
      <c r="KA28" s="30">
        <v>13.75</v>
      </c>
      <c r="KB28" s="30">
        <v>16</v>
      </c>
      <c r="KC28" s="30">
        <v>20</v>
      </c>
      <c r="KD28" s="30">
        <v>15</v>
      </c>
      <c r="KE28" s="30">
        <v>18.333333333333332</v>
      </c>
      <c r="KF28" s="30">
        <v>13.75</v>
      </c>
      <c r="KG28" s="30">
        <v>6</v>
      </c>
      <c r="KH28" s="30">
        <v>0</v>
      </c>
      <c r="KI28" s="1">
        <v>15</v>
      </c>
      <c r="KJ28" s="1">
        <v>100</v>
      </c>
    </row>
    <row r="29" spans="1:299" s="1" customFormat="1" ht="115.5">
      <c r="A29" s="8" t="s">
        <v>619</v>
      </c>
      <c r="B29" s="1">
        <v>58</v>
      </c>
      <c r="C29" s="20">
        <v>50</v>
      </c>
      <c r="D29" s="1">
        <v>2</v>
      </c>
      <c r="E29" s="1" t="s">
        <v>588</v>
      </c>
      <c r="F29" s="1">
        <v>21117</v>
      </c>
      <c r="G29" s="12" t="s">
        <v>33</v>
      </c>
      <c r="H29" s="12" t="s">
        <v>34</v>
      </c>
      <c r="I29" s="12" t="s">
        <v>22</v>
      </c>
      <c r="J29" s="13">
        <v>45104</v>
      </c>
      <c r="K29" s="30" t="s">
        <v>664</v>
      </c>
      <c r="L29" s="82" t="s">
        <v>720</v>
      </c>
      <c r="M29" s="14" t="s">
        <v>138</v>
      </c>
      <c r="N29" s="14" t="s">
        <v>147</v>
      </c>
      <c r="O29" s="1">
        <v>0</v>
      </c>
      <c r="P29" s="10">
        <v>45089</v>
      </c>
      <c r="R29" s="10">
        <v>45369</v>
      </c>
      <c r="T29" s="10">
        <v>45103</v>
      </c>
      <c r="U29" s="30">
        <v>-1</v>
      </c>
      <c r="W29" s="1">
        <v>10</v>
      </c>
      <c r="X29" s="1">
        <v>20</v>
      </c>
      <c r="Y29" s="1">
        <v>25</v>
      </c>
      <c r="Z29" s="1">
        <v>30</v>
      </c>
      <c r="AA29" s="1">
        <v>30</v>
      </c>
      <c r="AB29" s="1">
        <v>35</v>
      </c>
      <c r="AC29" s="1">
        <v>25</v>
      </c>
      <c r="AD29" s="1">
        <v>20</v>
      </c>
      <c r="AE29" s="1">
        <v>30</v>
      </c>
      <c r="AF29" s="1">
        <v>35</v>
      </c>
      <c r="AG29" s="1">
        <v>40</v>
      </c>
      <c r="AH29" s="1">
        <v>30</v>
      </c>
      <c r="AI29" s="1">
        <v>40</v>
      </c>
      <c r="AJ29" s="1">
        <v>50</v>
      </c>
      <c r="AK29" s="1">
        <v>55</v>
      </c>
      <c r="AS29" s="33">
        <v>36.25</v>
      </c>
      <c r="AT29" s="33">
        <v>42</v>
      </c>
      <c r="AU29" s="33">
        <v>28.333333333333332</v>
      </c>
      <c r="AV29" s="33">
        <v>35</v>
      </c>
      <c r="AW29" s="33">
        <v>48.333333333333336</v>
      </c>
      <c r="AX29" s="33">
        <v>36.25</v>
      </c>
      <c r="AY29" s="1">
        <v>3</v>
      </c>
      <c r="AZ29" s="33">
        <v>1</v>
      </c>
      <c r="BA29" s="1">
        <v>35</v>
      </c>
      <c r="BB29" s="1">
        <v>92</v>
      </c>
      <c r="BC29" s="1">
        <v>10</v>
      </c>
      <c r="BD29" s="1">
        <v>25</v>
      </c>
      <c r="BE29" s="1">
        <v>20</v>
      </c>
      <c r="BF29" s="1">
        <v>25</v>
      </c>
      <c r="BG29" s="1">
        <v>25</v>
      </c>
      <c r="BH29" s="1">
        <v>30</v>
      </c>
      <c r="BI29" s="33">
        <v>22.5</v>
      </c>
      <c r="BJ29" s="1">
        <v>40</v>
      </c>
      <c r="BK29" s="1">
        <v>45</v>
      </c>
      <c r="BL29" s="1">
        <v>45</v>
      </c>
      <c r="BM29" s="1">
        <v>45</v>
      </c>
      <c r="BN29" s="1">
        <v>25</v>
      </c>
      <c r="BO29" s="1">
        <v>30</v>
      </c>
      <c r="BP29" s="1">
        <v>40</v>
      </c>
      <c r="BQ29" s="1">
        <v>70</v>
      </c>
      <c r="BY29" s="33">
        <v>40</v>
      </c>
      <c r="BZ29" s="33">
        <v>45</v>
      </c>
      <c r="CA29" s="33">
        <v>43.333333333333336</v>
      </c>
      <c r="CB29" s="33">
        <v>35</v>
      </c>
      <c r="CC29" s="33">
        <v>46.666666666666664</v>
      </c>
      <c r="CD29" s="33">
        <v>36.25</v>
      </c>
      <c r="CE29" s="1">
        <v>6</v>
      </c>
      <c r="CF29" s="33">
        <v>1</v>
      </c>
      <c r="CG29" s="1">
        <v>40</v>
      </c>
      <c r="CH29" s="1">
        <v>88</v>
      </c>
      <c r="CL29" s="10">
        <v>45236</v>
      </c>
      <c r="CM29" s="30">
        <v>132</v>
      </c>
      <c r="CO29" s="1">
        <v>5</v>
      </c>
      <c r="CP29" s="1">
        <v>25</v>
      </c>
      <c r="CQ29" s="1">
        <v>20</v>
      </c>
      <c r="CR29" s="1">
        <v>30</v>
      </c>
      <c r="CS29" s="1">
        <v>35</v>
      </c>
      <c r="CT29" s="1">
        <v>30</v>
      </c>
      <c r="CU29" s="33">
        <v>23.75</v>
      </c>
      <c r="CV29" s="1">
        <v>40</v>
      </c>
      <c r="CW29" s="1">
        <v>35</v>
      </c>
      <c r="CX29" s="1">
        <v>30</v>
      </c>
      <c r="CY29" s="1">
        <v>25</v>
      </c>
      <c r="CZ29" s="1">
        <v>30</v>
      </c>
      <c r="DA29" s="1">
        <v>35</v>
      </c>
      <c r="DB29" s="1">
        <v>35</v>
      </c>
      <c r="DC29" s="1">
        <v>50</v>
      </c>
      <c r="DK29" s="33">
        <v>27.5</v>
      </c>
      <c r="DL29" s="33">
        <v>34</v>
      </c>
      <c r="DM29" s="33">
        <v>35</v>
      </c>
      <c r="DN29" s="33">
        <v>27.5</v>
      </c>
      <c r="DO29" s="33">
        <v>40</v>
      </c>
      <c r="DP29" s="33">
        <v>30</v>
      </c>
      <c r="DR29" s="33">
        <v>1</v>
      </c>
      <c r="DU29" s="1">
        <v>20</v>
      </c>
      <c r="DV29" s="1">
        <v>30</v>
      </c>
      <c r="DW29" s="1">
        <v>20</v>
      </c>
      <c r="DX29" s="1">
        <v>30</v>
      </c>
      <c r="DY29" s="1">
        <v>35</v>
      </c>
      <c r="DZ29" s="1">
        <v>45</v>
      </c>
      <c r="EA29" s="33">
        <v>25</v>
      </c>
      <c r="EB29" s="1">
        <v>40</v>
      </c>
      <c r="EC29" s="1">
        <v>45</v>
      </c>
      <c r="ED29" s="1">
        <v>40</v>
      </c>
      <c r="EE29" s="1">
        <v>50</v>
      </c>
      <c r="EF29" s="1">
        <v>35</v>
      </c>
      <c r="EG29" s="1">
        <v>45</v>
      </c>
      <c r="EH29" s="1">
        <v>60</v>
      </c>
      <c r="EI29" s="1">
        <v>70</v>
      </c>
      <c r="EQ29" s="33">
        <v>43.75</v>
      </c>
      <c r="ER29" s="33">
        <v>51</v>
      </c>
      <c r="ES29" s="33">
        <v>41.666666666666664</v>
      </c>
      <c r="ET29" s="33">
        <v>42.5</v>
      </c>
      <c r="EU29" s="33">
        <v>58.333333333333336</v>
      </c>
      <c r="EV29" s="33">
        <v>42.5</v>
      </c>
      <c r="EW29" s="1">
        <v>6</v>
      </c>
      <c r="EX29" s="33">
        <v>2</v>
      </c>
      <c r="FD29" s="10">
        <v>45369</v>
      </c>
      <c r="FE29" s="30">
        <v>265</v>
      </c>
      <c r="FG29" s="1">
        <v>10</v>
      </c>
      <c r="FH29" s="1">
        <v>25</v>
      </c>
      <c r="FI29" s="1">
        <v>20</v>
      </c>
      <c r="FJ29" s="1">
        <v>20</v>
      </c>
      <c r="FK29" s="1">
        <v>35</v>
      </c>
      <c r="FL29" s="1">
        <v>35</v>
      </c>
      <c r="FM29" s="33">
        <v>21.25</v>
      </c>
      <c r="FN29" s="1">
        <v>30</v>
      </c>
      <c r="FO29" s="1">
        <v>30</v>
      </c>
      <c r="FP29" s="1">
        <v>30</v>
      </c>
      <c r="FQ29" s="1">
        <v>20</v>
      </c>
      <c r="FR29" s="1">
        <v>20</v>
      </c>
      <c r="FS29" s="1">
        <v>35</v>
      </c>
      <c r="FT29" s="1">
        <v>35</v>
      </c>
      <c r="FU29" s="1">
        <v>50</v>
      </c>
      <c r="GC29" s="33">
        <v>22.5</v>
      </c>
      <c r="GD29" s="33">
        <v>31</v>
      </c>
      <c r="GE29" s="33">
        <v>30</v>
      </c>
      <c r="GF29" s="33">
        <v>20</v>
      </c>
      <c r="GG29" s="33">
        <v>40</v>
      </c>
      <c r="GH29" s="33">
        <v>26.25</v>
      </c>
      <c r="GI29" s="1">
        <v>6</v>
      </c>
      <c r="GJ29" s="33">
        <v>1</v>
      </c>
      <c r="GK29" s="1">
        <v>30</v>
      </c>
      <c r="GL29" s="1">
        <v>92</v>
      </c>
      <c r="GM29" s="1">
        <v>20</v>
      </c>
      <c r="GN29" s="1">
        <v>40</v>
      </c>
      <c r="GO29" s="1">
        <v>40</v>
      </c>
      <c r="GP29" s="1">
        <v>35</v>
      </c>
      <c r="GQ29" s="1">
        <v>45</v>
      </c>
      <c r="GR29" s="1">
        <v>55</v>
      </c>
      <c r="GS29" s="30">
        <v>38.75</v>
      </c>
      <c r="GT29" s="1">
        <v>35</v>
      </c>
      <c r="GU29" s="1">
        <v>40</v>
      </c>
      <c r="GV29" s="1">
        <v>45</v>
      </c>
      <c r="GW29" s="1">
        <v>50</v>
      </c>
      <c r="GX29" s="1">
        <v>35</v>
      </c>
      <c r="GY29" s="1">
        <v>45</v>
      </c>
      <c r="GZ29" s="1">
        <v>55</v>
      </c>
      <c r="HA29" s="1">
        <v>70</v>
      </c>
      <c r="HI29" s="30">
        <v>45</v>
      </c>
      <c r="HJ29" s="30">
        <v>51</v>
      </c>
      <c r="HK29" s="30">
        <v>40</v>
      </c>
      <c r="HL29" s="30">
        <v>42.5</v>
      </c>
      <c r="HM29" s="30">
        <v>56.666666666666664</v>
      </c>
      <c r="HN29" s="30">
        <v>43.75</v>
      </c>
      <c r="HO29" s="1">
        <v>6</v>
      </c>
      <c r="HP29" s="30">
        <v>2</v>
      </c>
      <c r="HQ29" s="1">
        <v>45</v>
      </c>
      <c r="HR29" s="1">
        <v>84</v>
      </c>
      <c r="HV29" s="10">
        <v>45525</v>
      </c>
      <c r="HW29" s="30">
        <v>421</v>
      </c>
      <c r="HY29" s="1">
        <v>10</v>
      </c>
      <c r="HZ29" s="1">
        <v>25</v>
      </c>
      <c r="IA29" s="1">
        <v>25</v>
      </c>
      <c r="IB29" s="1">
        <v>25</v>
      </c>
      <c r="IC29" s="1">
        <v>35</v>
      </c>
      <c r="ID29" s="1">
        <v>35</v>
      </c>
      <c r="IE29" s="30">
        <v>25</v>
      </c>
      <c r="IF29" s="1">
        <v>30</v>
      </c>
      <c r="IG29" s="1">
        <v>30</v>
      </c>
      <c r="IH29" s="1">
        <v>25</v>
      </c>
      <c r="II29" s="1">
        <v>25</v>
      </c>
      <c r="IJ29" s="1">
        <v>25</v>
      </c>
      <c r="IK29" s="1">
        <v>40</v>
      </c>
      <c r="IL29" s="1">
        <v>35</v>
      </c>
      <c r="IM29" s="1">
        <v>50</v>
      </c>
      <c r="IU29" s="30">
        <v>25</v>
      </c>
      <c r="IV29" s="30">
        <v>32</v>
      </c>
      <c r="IW29" s="30">
        <v>28.333333333333332</v>
      </c>
      <c r="IX29" s="30">
        <v>25</v>
      </c>
      <c r="IY29" s="30">
        <v>41.666666666666664</v>
      </c>
      <c r="IZ29" s="30">
        <v>28.75</v>
      </c>
      <c r="JA29" s="1">
        <v>3</v>
      </c>
      <c r="JB29" s="30">
        <v>1</v>
      </c>
      <c r="JC29" s="1">
        <v>30</v>
      </c>
      <c r="JD29" s="1">
        <v>92</v>
      </c>
      <c r="JE29" s="1">
        <v>20</v>
      </c>
      <c r="JF29" s="1">
        <v>35</v>
      </c>
      <c r="JG29" s="1">
        <v>40</v>
      </c>
      <c r="JH29" s="1">
        <v>30</v>
      </c>
      <c r="JI29" s="1">
        <v>50</v>
      </c>
      <c r="JJ29" s="1">
        <v>55</v>
      </c>
      <c r="JK29" s="30">
        <v>36.25</v>
      </c>
      <c r="JL29" s="1">
        <v>25</v>
      </c>
      <c r="JM29" s="1">
        <v>30</v>
      </c>
      <c r="JN29" s="1">
        <v>35</v>
      </c>
      <c r="JO29" s="1">
        <v>45</v>
      </c>
      <c r="JP29" s="1">
        <v>30</v>
      </c>
      <c r="JQ29" s="1">
        <v>65</v>
      </c>
      <c r="JR29" s="1">
        <v>55</v>
      </c>
      <c r="JS29" s="1">
        <v>65</v>
      </c>
      <c r="KA29" s="30">
        <v>38.75</v>
      </c>
      <c r="KB29" s="30">
        <v>46</v>
      </c>
      <c r="KC29" s="30">
        <v>30</v>
      </c>
      <c r="KD29" s="30">
        <v>37.5</v>
      </c>
      <c r="KE29" s="30">
        <v>61.666666666666664</v>
      </c>
      <c r="KF29" s="30">
        <v>43.75</v>
      </c>
      <c r="KG29" s="1">
        <v>6</v>
      </c>
      <c r="KH29" s="30">
        <v>2</v>
      </c>
      <c r="KI29" s="1">
        <v>45</v>
      </c>
      <c r="KJ29" s="1">
        <v>80</v>
      </c>
    </row>
    <row r="30" spans="1:299" s="1" customFormat="1" ht="49.5">
      <c r="A30" s="8" t="s">
        <v>620</v>
      </c>
      <c r="B30" s="1">
        <v>37</v>
      </c>
      <c r="C30" s="20">
        <v>30</v>
      </c>
      <c r="D30" s="1">
        <v>2</v>
      </c>
      <c r="E30" s="1" t="s">
        <v>591</v>
      </c>
      <c r="F30" s="1">
        <v>21114</v>
      </c>
      <c r="G30" s="12" t="s">
        <v>71</v>
      </c>
      <c r="H30" s="12" t="s">
        <v>72</v>
      </c>
      <c r="I30" s="12" t="s">
        <v>22</v>
      </c>
      <c r="J30" s="13">
        <v>44825</v>
      </c>
      <c r="K30" s="13" t="s">
        <v>668</v>
      </c>
      <c r="L30" s="82" t="s">
        <v>721</v>
      </c>
      <c r="M30" s="12" t="s">
        <v>114</v>
      </c>
      <c r="N30" s="12" t="s">
        <v>116</v>
      </c>
      <c r="T30" s="10">
        <v>44823</v>
      </c>
      <c r="U30" s="30">
        <v>-2</v>
      </c>
      <c r="V30" s="1" t="s">
        <v>555</v>
      </c>
      <c r="W30" s="1">
        <v>15</v>
      </c>
      <c r="X30" s="1">
        <v>20</v>
      </c>
      <c r="Y30" s="1">
        <v>15</v>
      </c>
      <c r="Z30" s="1">
        <v>15</v>
      </c>
      <c r="AA30" s="1">
        <v>10</v>
      </c>
      <c r="AB30" s="1">
        <v>10</v>
      </c>
      <c r="AC30" s="1">
        <v>16.25</v>
      </c>
      <c r="AD30" s="1">
        <v>20</v>
      </c>
      <c r="AE30" s="1">
        <v>15</v>
      </c>
      <c r="AF30" s="1">
        <v>20</v>
      </c>
      <c r="AG30" s="1">
        <v>15</v>
      </c>
      <c r="AH30" s="1">
        <v>15</v>
      </c>
      <c r="AI30" s="1">
        <v>10</v>
      </c>
      <c r="AJ30" s="1">
        <v>10</v>
      </c>
      <c r="AK30" s="1">
        <v>35</v>
      </c>
      <c r="AS30" s="33">
        <v>16.25</v>
      </c>
      <c r="AT30" s="33">
        <v>19</v>
      </c>
      <c r="AU30" s="33">
        <v>18.333333333333332</v>
      </c>
      <c r="AV30" s="33">
        <v>15</v>
      </c>
      <c r="AW30" s="33">
        <v>18.333333333333332</v>
      </c>
      <c r="AX30" s="33">
        <v>15</v>
      </c>
      <c r="AY30" s="1">
        <v>6</v>
      </c>
      <c r="AZ30" s="33">
        <v>0</v>
      </c>
      <c r="BA30" s="1">
        <v>20</v>
      </c>
      <c r="BB30" s="1">
        <v>100</v>
      </c>
      <c r="BC30" s="1">
        <v>30</v>
      </c>
      <c r="BD30" s="1">
        <v>45</v>
      </c>
      <c r="BE30" s="1">
        <v>35</v>
      </c>
      <c r="BF30" s="1">
        <v>35</v>
      </c>
      <c r="BG30" s="1">
        <v>45</v>
      </c>
      <c r="BH30" s="1">
        <v>40</v>
      </c>
      <c r="BI30" s="33">
        <v>37.5</v>
      </c>
      <c r="BJ30" s="1">
        <v>70</v>
      </c>
      <c r="BK30" s="1">
        <v>70</v>
      </c>
      <c r="BL30" s="1">
        <v>70</v>
      </c>
      <c r="BM30" s="1">
        <v>65</v>
      </c>
      <c r="BN30" s="1">
        <v>55</v>
      </c>
      <c r="BO30" s="1">
        <v>60</v>
      </c>
      <c r="BP30" s="1">
        <v>60</v>
      </c>
      <c r="BQ30" s="1">
        <v>60</v>
      </c>
      <c r="BY30" s="33">
        <v>63.75</v>
      </c>
      <c r="BZ30" s="33">
        <v>62</v>
      </c>
      <c r="CA30" s="33">
        <v>70</v>
      </c>
      <c r="CB30" s="33">
        <v>60</v>
      </c>
      <c r="CC30" s="33">
        <v>60</v>
      </c>
      <c r="CD30" s="33">
        <v>62.5</v>
      </c>
      <c r="CE30" s="1">
        <v>4</v>
      </c>
      <c r="CF30" s="33">
        <v>3</v>
      </c>
      <c r="CG30" s="1">
        <v>55</v>
      </c>
      <c r="CH30" s="1">
        <v>100</v>
      </c>
      <c r="CL30" s="10"/>
      <c r="CM30" s="30">
        <v>-44825</v>
      </c>
      <c r="CU30" s="33">
        <v>0</v>
      </c>
      <c r="DK30" s="33">
        <v>0</v>
      </c>
      <c r="DL30" s="33" t="e">
        <v>#DIV/0!</v>
      </c>
      <c r="DM30" s="33" t="e">
        <v>#DIV/0!</v>
      </c>
      <c r="DN30" s="33" t="e">
        <v>#DIV/0!</v>
      </c>
      <c r="DO30" s="33" t="e">
        <v>#DIV/0!</v>
      </c>
      <c r="DP30" s="33" t="e">
        <v>#DIV/0!</v>
      </c>
      <c r="DR30" s="33" t="e">
        <v>#DIV/0!</v>
      </c>
      <c r="EA30" s="33">
        <v>0</v>
      </c>
      <c r="EQ30" s="33">
        <v>0</v>
      </c>
      <c r="ER30" s="33" t="e">
        <v>#DIV/0!</v>
      </c>
      <c r="ES30" s="33" t="e">
        <v>#DIV/0!</v>
      </c>
      <c r="ET30" s="33" t="e">
        <v>#DIV/0!</v>
      </c>
      <c r="EU30" s="33" t="e">
        <v>#DIV/0!</v>
      </c>
      <c r="EV30" s="33" t="e">
        <v>#DIV/0!</v>
      </c>
      <c r="EX30" s="33" t="e">
        <v>#DIV/0!</v>
      </c>
      <c r="FE30" s="30">
        <v>-44825</v>
      </c>
      <c r="FM30" s="33">
        <v>0</v>
      </c>
      <c r="GC30" s="33">
        <v>0</v>
      </c>
      <c r="GD30" s="33" t="e">
        <v>#DIV/0!</v>
      </c>
      <c r="GE30" s="33" t="e">
        <v>#DIV/0!</v>
      </c>
      <c r="GF30" s="33" t="e">
        <v>#DIV/0!</v>
      </c>
      <c r="GG30" s="33" t="e">
        <v>#DIV/0!</v>
      </c>
      <c r="GH30" s="33" t="e">
        <v>#DIV/0!</v>
      </c>
      <c r="GJ30" s="33" t="e">
        <v>#DIV/0!</v>
      </c>
      <c r="GS30" s="30">
        <v>0</v>
      </c>
      <c r="HI30" s="30">
        <v>0</v>
      </c>
      <c r="HJ30" s="30" t="e">
        <v>#DIV/0!</v>
      </c>
      <c r="HK30" s="30" t="e">
        <v>#DIV/0!</v>
      </c>
      <c r="HL30" s="30" t="e">
        <v>#DIV/0!</v>
      </c>
      <c r="HM30" s="30" t="e">
        <v>#DIV/0!</v>
      </c>
      <c r="HN30" s="30" t="e">
        <v>#DIV/0!</v>
      </c>
      <c r="HP30" s="30" t="e">
        <v>#DIV/0!</v>
      </c>
      <c r="HW30" s="30">
        <v>-44825</v>
      </c>
      <c r="IE30" s="30">
        <v>0</v>
      </c>
      <c r="IU30" s="30">
        <v>0</v>
      </c>
      <c r="IV30" s="30" t="e">
        <v>#DIV/0!</v>
      </c>
      <c r="IW30" s="30" t="e">
        <v>#DIV/0!</v>
      </c>
      <c r="IX30" s="30" t="e">
        <v>#DIV/0!</v>
      </c>
      <c r="IY30" s="30" t="e">
        <v>#DIV/0!</v>
      </c>
      <c r="IZ30" s="30" t="e">
        <v>#DIV/0!</v>
      </c>
      <c r="JB30" s="30" t="e">
        <v>#DIV/0!</v>
      </c>
      <c r="JK30" s="30">
        <v>0</v>
      </c>
      <c r="KA30" s="30">
        <v>0</v>
      </c>
      <c r="KB30" s="30" t="e">
        <v>#DIV/0!</v>
      </c>
      <c r="KC30" s="30" t="e">
        <v>#DIV/0!</v>
      </c>
      <c r="KD30" s="30" t="e">
        <v>#DIV/0!</v>
      </c>
      <c r="KE30" s="30" t="e">
        <v>#DIV/0!</v>
      </c>
      <c r="KF30" s="30" t="e">
        <v>#DIV/0!</v>
      </c>
      <c r="KH30" s="30" t="e">
        <v>#DIV/0!</v>
      </c>
    </row>
    <row r="31" spans="1:299" s="1" customFormat="1" ht="66">
      <c r="A31" s="8" t="s">
        <v>621</v>
      </c>
      <c r="B31" s="1">
        <v>55</v>
      </c>
      <c r="C31" s="20">
        <v>50</v>
      </c>
      <c r="D31" s="1">
        <v>2</v>
      </c>
      <c r="E31" s="1" t="s">
        <v>588</v>
      </c>
      <c r="F31" s="1">
        <v>21115</v>
      </c>
      <c r="G31" s="12" t="s">
        <v>52</v>
      </c>
      <c r="H31" s="12" t="s">
        <v>53</v>
      </c>
      <c r="I31" s="12" t="s">
        <v>22</v>
      </c>
      <c r="J31" s="13">
        <v>44945</v>
      </c>
      <c r="K31" s="30" t="s">
        <v>664</v>
      </c>
      <c r="L31" s="30" t="s">
        <v>683</v>
      </c>
      <c r="M31" s="14" t="s">
        <v>129</v>
      </c>
      <c r="N31" s="12" t="s">
        <v>114</v>
      </c>
      <c r="T31" s="32">
        <v>44944</v>
      </c>
      <c r="U31" s="30">
        <v>-1</v>
      </c>
      <c r="V31" s="30"/>
      <c r="W31" s="30">
        <v>20</v>
      </c>
      <c r="X31" s="30">
        <v>25</v>
      </c>
      <c r="Y31" s="30">
        <v>10</v>
      </c>
      <c r="Z31" s="30">
        <v>10</v>
      </c>
      <c r="AA31" s="30">
        <v>20</v>
      </c>
      <c r="AB31" s="30">
        <v>20</v>
      </c>
      <c r="AC31" s="33">
        <v>13.75</v>
      </c>
      <c r="AD31" s="30">
        <v>25</v>
      </c>
      <c r="AE31" s="30">
        <v>20</v>
      </c>
      <c r="AF31" s="30">
        <v>25</v>
      </c>
      <c r="AG31" s="30">
        <v>25</v>
      </c>
      <c r="AH31" s="30">
        <v>10</v>
      </c>
      <c r="AI31" s="30">
        <v>30</v>
      </c>
      <c r="AJ31" s="30">
        <v>30</v>
      </c>
      <c r="AK31" s="30">
        <v>60</v>
      </c>
      <c r="AL31" s="31" t="s">
        <v>234</v>
      </c>
      <c r="AM31" s="31" t="s">
        <v>234</v>
      </c>
      <c r="AN31" s="31" t="s">
        <v>234</v>
      </c>
      <c r="AO31" s="31" t="s">
        <v>234</v>
      </c>
      <c r="AP31" s="31" t="s">
        <v>234</v>
      </c>
      <c r="AQ31" s="31" t="s">
        <v>234</v>
      </c>
      <c r="AR31" s="31" t="s">
        <v>234</v>
      </c>
      <c r="AS31" s="33">
        <v>21.25</v>
      </c>
      <c r="AT31" s="33">
        <v>30</v>
      </c>
      <c r="AU31" s="33">
        <v>23.333333333333332</v>
      </c>
      <c r="AV31" s="33">
        <v>17.5</v>
      </c>
      <c r="AW31" s="33">
        <v>40</v>
      </c>
      <c r="AX31" s="33">
        <v>22.5</v>
      </c>
      <c r="AY31" s="34" t="s">
        <v>235</v>
      </c>
      <c r="AZ31" s="33">
        <v>1</v>
      </c>
      <c r="BA31" s="30">
        <v>30</v>
      </c>
      <c r="BB31" s="30">
        <v>100</v>
      </c>
      <c r="BC31" s="30">
        <v>15</v>
      </c>
      <c r="BD31" s="30">
        <v>10</v>
      </c>
      <c r="BE31" s="30">
        <v>15</v>
      </c>
      <c r="BF31" s="30">
        <v>15</v>
      </c>
      <c r="BG31" s="30">
        <v>20</v>
      </c>
      <c r="BH31" s="30">
        <v>15</v>
      </c>
      <c r="BI31" s="33">
        <v>13.75</v>
      </c>
      <c r="BJ31" s="30">
        <v>20</v>
      </c>
      <c r="BK31" s="30">
        <v>15</v>
      </c>
      <c r="BL31" s="30">
        <v>10</v>
      </c>
      <c r="BM31" s="30">
        <v>15</v>
      </c>
      <c r="BN31" s="30">
        <v>20</v>
      </c>
      <c r="BO31" s="30">
        <v>20</v>
      </c>
      <c r="BP31" s="30">
        <v>15</v>
      </c>
      <c r="BQ31" s="30">
        <v>35</v>
      </c>
      <c r="BR31" s="31" t="s">
        <v>234</v>
      </c>
      <c r="BS31" s="31" t="s">
        <v>234</v>
      </c>
      <c r="BT31" s="31" t="s">
        <v>234</v>
      </c>
      <c r="BU31" s="31" t="s">
        <v>234</v>
      </c>
      <c r="BV31" s="31" t="s">
        <v>234</v>
      </c>
      <c r="BW31" s="31" t="s">
        <v>234</v>
      </c>
      <c r="BX31" s="31" t="s">
        <v>234</v>
      </c>
      <c r="BY31" s="33">
        <v>15</v>
      </c>
      <c r="BZ31" s="33">
        <v>19</v>
      </c>
      <c r="CA31" s="33">
        <v>15</v>
      </c>
      <c r="CB31" s="33">
        <v>17.5</v>
      </c>
      <c r="CC31" s="33">
        <v>23.333333333333332</v>
      </c>
      <c r="CD31" s="33">
        <v>16.25</v>
      </c>
      <c r="CE31" s="30">
        <v>3</v>
      </c>
      <c r="CF31" s="33">
        <v>0</v>
      </c>
      <c r="CG31" s="30">
        <v>20</v>
      </c>
      <c r="CH31" s="30">
        <v>100</v>
      </c>
      <c r="CI31" s="30" t="s">
        <v>355</v>
      </c>
      <c r="CJ31" s="31" t="s">
        <v>356</v>
      </c>
      <c r="CK31" s="30"/>
      <c r="CL31" s="32">
        <v>45033</v>
      </c>
      <c r="CM31" s="30">
        <v>88</v>
      </c>
      <c r="CN31" s="30"/>
      <c r="CO31" s="30">
        <v>15</v>
      </c>
      <c r="CP31" s="30">
        <v>25</v>
      </c>
      <c r="CQ31" s="30">
        <v>15</v>
      </c>
      <c r="CR31" s="30">
        <v>10</v>
      </c>
      <c r="CS31" s="30">
        <v>25</v>
      </c>
      <c r="CT31" s="30">
        <v>20</v>
      </c>
      <c r="CU31" s="33">
        <v>16.25</v>
      </c>
      <c r="CV31" s="30">
        <v>25</v>
      </c>
      <c r="CW31" s="30">
        <v>35</v>
      </c>
      <c r="CX31" s="30">
        <v>25</v>
      </c>
      <c r="CY31" s="30">
        <v>25</v>
      </c>
      <c r="CZ31" s="30">
        <v>10</v>
      </c>
      <c r="DA31" s="30">
        <v>25</v>
      </c>
      <c r="DB31" s="30">
        <v>30</v>
      </c>
      <c r="DC31" s="30">
        <v>40</v>
      </c>
      <c r="DD31" s="30" t="s">
        <v>277</v>
      </c>
      <c r="DE31" s="30" t="s">
        <v>277</v>
      </c>
      <c r="DF31" s="30" t="s">
        <v>277</v>
      </c>
      <c r="DG31" s="30" t="s">
        <v>277</v>
      </c>
      <c r="DH31" s="30" t="s">
        <v>277</v>
      </c>
      <c r="DI31" s="30" t="s">
        <v>277</v>
      </c>
      <c r="DJ31" s="30" t="s">
        <v>277</v>
      </c>
      <c r="DK31" s="33">
        <v>21.25</v>
      </c>
      <c r="DL31" s="33">
        <v>26</v>
      </c>
      <c r="DM31" s="33">
        <v>28.333333333333332</v>
      </c>
      <c r="DN31" s="33">
        <v>17.5</v>
      </c>
      <c r="DO31" s="33">
        <v>31.666666666666668</v>
      </c>
      <c r="DP31" s="33">
        <v>21.25</v>
      </c>
      <c r="DQ31" s="30">
        <v>6</v>
      </c>
      <c r="DR31" s="33">
        <v>1</v>
      </c>
      <c r="DS31" s="30">
        <v>25</v>
      </c>
      <c r="DT31" s="30">
        <v>100</v>
      </c>
      <c r="DU31" s="30">
        <v>0</v>
      </c>
      <c r="DV31" s="30">
        <v>5</v>
      </c>
      <c r="DW31" s="30">
        <v>5</v>
      </c>
      <c r="DX31" s="30">
        <v>5</v>
      </c>
      <c r="DY31" s="30">
        <v>5</v>
      </c>
      <c r="DZ31" s="30">
        <v>10</v>
      </c>
      <c r="EA31" s="33">
        <v>5</v>
      </c>
      <c r="EB31" s="30">
        <v>15</v>
      </c>
      <c r="EC31" s="30">
        <v>0</v>
      </c>
      <c r="ED31" s="30">
        <v>5</v>
      </c>
      <c r="EE31" s="30">
        <v>5</v>
      </c>
      <c r="EF31" s="30">
        <v>5</v>
      </c>
      <c r="EG31" s="30">
        <v>5</v>
      </c>
      <c r="EH31" s="30">
        <v>10</v>
      </c>
      <c r="EI31" s="30">
        <v>10</v>
      </c>
      <c r="EJ31" s="30" t="s">
        <v>277</v>
      </c>
      <c r="EK31" s="30" t="s">
        <v>277</v>
      </c>
      <c r="EL31" s="30" t="s">
        <v>277</v>
      </c>
      <c r="EM31" s="30" t="s">
        <v>277</v>
      </c>
      <c r="EN31" s="30" t="s">
        <v>277</v>
      </c>
      <c r="EO31" s="30" t="s">
        <v>277</v>
      </c>
      <c r="EP31" s="30" t="s">
        <v>277</v>
      </c>
      <c r="EQ31" s="33">
        <v>5</v>
      </c>
      <c r="ER31" s="33">
        <v>7</v>
      </c>
      <c r="ES31" s="33">
        <v>6.666666666666667</v>
      </c>
      <c r="ET31" s="33">
        <v>5</v>
      </c>
      <c r="EU31" s="33">
        <v>8.3333333333333339</v>
      </c>
      <c r="EV31" s="33">
        <v>5</v>
      </c>
      <c r="EW31" s="30">
        <v>4</v>
      </c>
      <c r="EX31" s="33">
        <v>0</v>
      </c>
      <c r="EY31" s="30">
        <v>10</v>
      </c>
      <c r="EZ31" s="30">
        <v>100</v>
      </c>
      <c r="FA31" s="30" t="s">
        <v>357</v>
      </c>
      <c r="FB31" s="30" t="s">
        <v>358</v>
      </c>
      <c r="FC31" s="30"/>
      <c r="FD31" s="32">
        <v>45113</v>
      </c>
      <c r="FE31" s="30">
        <v>168</v>
      </c>
      <c r="FF31" s="30"/>
      <c r="FG31" s="30">
        <v>15</v>
      </c>
      <c r="FH31" s="30">
        <v>20</v>
      </c>
      <c r="FI31" s="30">
        <v>10</v>
      </c>
      <c r="FJ31" s="30">
        <v>10</v>
      </c>
      <c r="FK31" s="30">
        <v>25</v>
      </c>
      <c r="FL31" s="30">
        <v>25</v>
      </c>
      <c r="FM31" s="33">
        <v>12.5</v>
      </c>
      <c r="FN31" s="30">
        <v>20</v>
      </c>
      <c r="FO31" s="30">
        <v>20</v>
      </c>
      <c r="FP31" s="30">
        <v>20</v>
      </c>
      <c r="FQ31" s="30">
        <v>15</v>
      </c>
      <c r="FR31" s="30">
        <v>10</v>
      </c>
      <c r="FS31" s="30">
        <v>25</v>
      </c>
      <c r="FT31" s="30">
        <v>35</v>
      </c>
      <c r="FU31" s="30">
        <v>55</v>
      </c>
      <c r="FV31" s="30" t="s">
        <v>234</v>
      </c>
      <c r="FW31" s="30" t="s">
        <v>234</v>
      </c>
      <c r="FX31" s="30" t="s">
        <v>234</v>
      </c>
      <c r="FY31" s="30" t="s">
        <v>234</v>
      </c>
      <c r="FZ31" s="30" t="s">
        <v>234</v>
      </c>
      <c r="GA31" s="30" t="s">
        <v>234</v>
      </c>
      <c r="GB31" s="30" t="s">
        <v>234</v>
      </c>
      <c r="GC31" s="33">
        <v>15</v>
      </c>
      <c r="GD31" s="33">
        <v>27</v>
      </c>
      <c r="GE31" s="33">
        <v>20</v>
      </c>
      <c r="GF31" s="33">
        <v>12.5</v>
      </c>
      <c r="GG31" s="33">
        <v>38.333333333333336</v>
      </c>
      <c r="GH31" s="33">
        <v>17.5</v>
      </c>
      <c r="GI31" s="30">
        <v>6</v>
      </c>
      <c r="GJ31" s="33">
        <v>0</v>
      </c>
      <c r="GK31" s="30">
        <v>20</v>
      </c>
      <c r="GL31" s="30">
        <v>100</v>
      </c>
      <c r="GM31" s="30">
        <v>5</v>
      </c>
      <c r="GN31" s="30">
        <v>5</v>
      </c>
      <c r="GO31" s="30">
        <v>5</v>
      </c>
      <c r="GP31" s="30">
        <v>10</v>
      </c>
      <c r="GQ31" s="30">
        <v>10</v>
      </c>
      <c r="GR31" s="30">
        <v>15</v>
      </c>
      <c r="GS31" s="30">
        <v>6.25</v>
      </c>
      <c r="GT31" s="30">
        <v>10</v>
      </c>
      <c r="GU31" s="30">
        <v>5</v>
      </c>
      <c r="GV31" s="30">
        <v>5</v>
      </c>
      <c r="GW31" s="30">
        <v>5</v>
      </c>
      <c r="GX31" s="30">
        <v>10</v>
      </c>
      <c r="GY31" s="30">
        <v>10</v>
      </c>
      <c r="GZ31" s="30">
        <v>15</v>
      </c>
      <c r="HA31" s="30">
        <v>20</v>
      </c>
      <c r="HB31" s="30" t="s">
        <v>277</v>
      </c>
      <c r="HC31" s="30" t="s">
        <v>277</v>
      </c>
      <c r="HD31" s="30" t="s">
        <v>277</v>
      </c>
      <c r="HE31" s="30" t="s">
        <v>277</v>
      </c>
      <c r="HF31" s="30" t="s">
        <v>277</v>
      </c>
      <c r="HG31" s="30" t="s">
        <v>277</v>
      </c>
      <c r="HH31" s="30" t="s">
        <v>277</v>
      </c>
      <c r="HI31" s="30">
        <v>6.25</v>
      </c>
      <c r="HJ31" s="30">
        <v>11</v>
      </c>
      <c r="HK31" s="30">
        <v>6.666666666666667</v>
      </c>
      <c r="HL31" s="30">
        <v>7.5</v>
      </c>
      <c r="HM31" s="30">
        <v>15</v>
      </c>
      <c r="HN31" s="30">
        <v>7.5</v>
      </c>
      <c r="HO31" s="30">
        <v>4</v>
      </c>
      <c r="HP31" s="30">
        <v>0</v>
      </c>
      <c r="HQ31" s="30">
        <v>10</v>
      </c>
      <c r="HR31" s="30">
        <v>100</v>
      </c>
      <c r="HS31" s="30" t="s">
        <v>359</v>
      </c>
      <c r="HT31" s="30" t="s">
        <v>360</v>
      </c>
      <c r="HU31" s="30"/>
      <c r="HV31" s="32">
        <v>45302</v>
      </c>
      <c r="HW31" s="30">
        <v>357</v>
      </c>
      <c r="HX31" s="30"/>
      <c r="HY31" s="30">
        <v>20</v>
      </c>
      <c r="HZ31" s="30">
        <v>25</v>
      </c>
      <c r="IA31" s="30">
        <v>5</v>
      </c>
      <c r="IB31" s="30">
        <v>10</v>
      </c>
      <c r="IC31" s="30">
        <v>30</v>
      </c>
      <c r="ID31" s="30">
        <v>30</v>
      </c>
      <c r="IE31" s="30">
        <v>11.25</v>
      </c>
      <c r="IF31" s="30">
        <v>25</v>
      </c>
      <c r="IG31" s="30">
        <v>25</v>
      </c>
      <c r="IH31" s="30">
        <v>25</v>
      </c>
      <c r="II31" s="30">
        <v>20</v>
      </c>
      <c r="IJ31" s="30">
        <v>10</v>
      </c>
      <c r="IK31" s="30">
        <v>35</v>
      </c>
      <c r="IL31" s="30">
        <v>35</v>
      </c>
      <c r="IM31" s="30">
        <v>50</v>
      </c>
      <c r="IN31" s="30" t="s">
        <v>277</v>
      </c>
      <c r="IO31" s="30" t="s">
        <v>277</v>
      </c>
      <c r="IP31" s="30" t="s">
        <v>277</v>
      </c>
      <c r="IQ31" s="30" t="s">
        <v>277</v>
      </c>
      <c r="IR31" s="30" t="s">
        <v>277</v>
      </c>
      <c r="IS31" s="30" t="s">
        <v>277</v>
      </c>
      <c r="IT31" s="30" t="s">
        <v>277</v>
      </c>
      <c r="IU31" s="30">
        <v>18.75</v>
      </c>
      <c r="IV31" s="30">
        <v>28</v>
      </c>
      <c r="IW31" s="30">
        <v>25</v>
      </c>
      <c r="IX31" s="30">
        <v>15</v>
      </c>
      <c r="IY31" s="30">
        <v>40</v>
      </c>
      <c r="IZ31" s="30">
        <v>22.5</v>
      </c>
      <c r="JA31" s="30">
        <v>6</v>
      </c>
      <c r="JB31" s="30">
        <v>1</v>
      </c>
      <c r="JC31" s="30">
        <v>25</v>
      </c>
      <c r="JD31" s="30">
        <v>100</v>
      </c>
      <c r="JE31" s="30">
        <v>5</v>
      </c>
      <c r="JF31" s="30">
        <v>10</v>
      </c>
      <c r="JG31" s="30">
        <v>10</v>
      </c>
      <c r="JH31" s="30">
        <v>10</v>
      </c>
      <c r="JI31" s="30">
        <v>15</v>
      </c>
      <c r="JJ31" s="30">
        <v>10</v>
      </c>
      <c r="JK31" s="30">
        <v>10</v>
      </c>
      <c r="JL31" s="30">
        <v>15</v>
      </c>
      <c r="JM31" s="30">
        <v>10</v>
      </c>
      <c r="JN31" s="30">
        <v>10</v>
      </c>
      <c r="JO31" s="30">
        <v>10</v>
      </c>
      <c r="JP31" s="30">
        <v>10</v>
      </c>
      <c r="JQ31" s="30">
        <v>15</v>
      </c>
      <c r="JR31" s="30">
        <v>10</v>
      </c>
      <c r="JS31" s="30">
        <v>20</v>
      </c>
      <c r="JT31" s="30" t="s">
        <v>277</v>
      </c>
      <c r="JU31" s="30" t="s">
        <v>277</v>
      </c>
      <c r="JV31" s="30" t="s">
        <v>277</v>
      </c>
      <c r="JW31" s="30" t="s">
        <v>277</v>
      </c>
      <c r="JX31" s="30" t="s">
        <v>277</v>
      </c>
      <c r="JY31" s="30" t="s">
        <v>277</v>
      </c>
      <c r="JZ31" s="30" t="s">
        <v>277</v>
      </c>
      <c r="KA31" s="30">
        <v>10</v>
      </c>
      <c r="KB31" s="30">
        <v>12</v>
      </c>
      <c r="KC31" s="30">
        <v>11.666666666666666</v>
      </c>
      <c r="KD31" s="30">
        <v>10</v>
      </c>
      <c r="KE31" s="30">
        <v>15</v>
      </c>
      <c r="KF31" s="30">
        <v>11.25</v>
      </c>
      <c r="KG31" s="30">
        <v>4</v>
      </c>
      <c r="KH31" s="30">
        <v>0</v>
      </c>
      <c r="KI31" s="30">
        <v>10</v>
      </c>
      <c r="KJ31" s="30">
        <v>100</v>
      </c>
      <c r="KK31" s="30" t="s">
        <v>361</v>
      </c>
      <c r="KL31" s="30" t="s">
        <v>362</v>
      </c>
    </row>
    <row r="32" spans="1:299" s="1" customFormat="1" ht="33">
      <c r="A32" s="8" t="s">
        <v>622</v>
      </c>
      <c r="B32" s="1">
        <v>58</v>
      </c>
      <c r="C32" s="1">
        <v>50</v>
      </c>
      <c r="D32" s="1">
        <v>2</v>
      </c>
      <c r="E32" s="1" t="s">
        <v>592</v>
      </c>
      <c r="F32" s="73" t="s">
        <v>587</v>
      </c>
      <c r="G32" s="10">
        <v>44132</v>
      </c>
      <c r="H32" s="10">
        <v>44144</v>
      </c>
      <c r="I32" s="12" t="s">
        <v>22</v>
      </c>
      <c r="J32" s="10">
        <v>44154</v>
      </c>
      <c r="K32" s="30" t="s">
        <v>678</v>
      </c>
      <c r="L32" s="30" t="s">
        <v>684</v>
      </c>
      <c r="N32" s="14" t="s">
        <v>177</v>
      </c>
      <c r="P32" s="10">
        <v>44153</v>
      </c>
      <c r="R32" s="10">
        <v>44284</v>
      </c>
      <c r="T32" s="53">
        <v>44139</v>
      </c>
      <c r="U32" s="30">
        <v>-15</v>
      </c>
      <c r="V32" s="31"/>
      <c r="W32" s="31">
        <v>25</v>
      </c>
      <c r="X32" s="30">
        <v>20</v>
      </c>
      <c r="Y32" s="30">
        <v>20</v>
      </c>
      <c r="Z32" s="30">
        <v>30</v>
      </c>
      <c r="AA32" s="30">
        <v>30</v>
      </c>
      <c r="AB32" s="30">
        <v>25</v>
      </c>
      <c r="AC32" s="33">
        <v>22.5</v>
      </c>
      <c r="AD32" s="30">
        <v>15</v>
      </c>
      <c r="AE32" s="30">
        <v>25</v>
      </c>
      <c r="AF32" s="30">
        <v>20</v>
      </c>
      <c r="AG32" s="30">
        <v>20</v>
      </c>
      <c r="AH32" s="30">
        <v>30</v>
      </c>
      <c r="AI32" s="30">
        <v>30</v>
      </c>
      <c r="AJ32" s="30">
        <v>30</v>
      </c>
      <c r="AK32" s="30">
        <v>10</v>
      </c>
      <c r="AL32" s="31" t="s">
        <v>234</v>
      </c>
      <c r="AM32" s="31" t="s">
        <v>234</v>
      </c>
      <c r="AN32" s="31" t="s">
        <v>234</v>
      </c>
      <c r="AO32" s="31" t="s">
        <v>234</v>
      </c>
      <c r="AP32" s="31" t="s">
        <v>234</v>
      </c>
      <c r="AQ32" s="31" t="s">
        <v>234</v>
      </c>
      <c r="AR32" s="31" t="s">
        <v>234</v>
      </c>
      <c r="AS32" s="33">
        <v>22.5</v>
      </c>
      <c r="AT32" s="33">
        <v>22</v>
      </c>
      <c r="AU32" s="33">
        <v>20</v>
      </c>
      <c r="AV32" s="33">
        <v>25</v>
      </c>
      <c r="AW32" s="33">
        <v>23.333333333333332</v>
      </c>
      <c r="AX32" s="33">
        <v>25</v>
      </c>
      <c r="AY32" s="34">
        <v>2</v>
      </c>
      <c r="AZ32" s="33">
        <v>1</v>
      </c>
      <c r="BA32" s="30">
        <v>30</v>
      </c>
      <c r="BB32" s="30">
        <v>100</v>
      </c>
      <c r="BC32" s="30">
        <v>30</v>
      </c>
      <c r="BD32" s="30">
        <v>35</v>
      </c>
      <c r="BE32" s="30">
        <v>40</v>
      </c>
      <c r="BF32" s="30">
        <v>55</v>
      </c>
      <c r="BG32" s="30">
        <v>45</v>
      </c>
      <c r="BH32" s="30">
        <v>40</v>
      </c>
      <c r="BI32" s="33">
        <v>42.5</v>
      </c>
      <c r="BJ32" s="30">
        <v>85</v>
      </c>
      <c r="BK32" s="30">
        <v>80</v>
      </c>
      <c r="BL32" s="30">
        <v>80</v>
      </c>
      <c r="BM32" s="30">
        <v>75</v>
      </c>
      <c r="BN32" s="30">
        <v>60</v>
      </c>
      <c r="BO32" s="30">
        <v>65</v>
      </c>
      <c r="BP32" s="30">
        <v>70</v>
      </c>
      <c r="BQ32" s="30">
        <v>65</v>
      </c>
      <c r="BR32" s="31" t="s">
        <v>234</v>
      </c>
      <c r="BS32" s="31" t="s">
        <v>234</v>
      </c>
      <c r="BT32" s="31" t="s">
        <v>234</v>
      </c>
      <c r="BU32" s="31" t="s">
        <v>234</v>
      </c>
      <c r="BV32" s="31" t="s">
        <v>234</v>
      </c>
      <c r="BW32" s="31" t="s">
        <v>234</v>
      </c>
      <c r="BX32" s="31" t="s">
        <v>234</v>
      </c>
      <c r="BY32" s="33">
        <v>72.5</v>
      </c>
      <c r="BZ32" s="33">
        <v>70</v>
      </c>
      <c r="CA32" s="33">
        <v>81.666666666666671</v>
      </c>
      <c r="CB32" s="33">
        <v>67.5</v>
      </c>
      <c r="CC32" s="33">
        <v>66.666666666666671</v>
      </c>
      <c r="CD32" s="33">
        <v>70</v>
      </c>
      <c r="CE32" s="30">
        <v>1</v>
      </c>
      <c r="CF32" s="33">
        <v>3</v>
      </c>
      <c r="CG32" s="30">
        <v>75</v>
      </c>
      <c r="CH32" s="30">
        <v>70</v>
      </c>
      <c r="CI32" s="31" t="s">
        <v>363</v>
      </c>
      <c r="CJ32" s="31" t="s">
        <v>364</v>
      </c>
      <c r="CK32" s="56"/>
      <c r="CL32" s="32">
        <v>44263</v>
      </c>
      <c r="CM32" s="30">
        <v>109</v>
      </c>
      <c r="CN32" s="30"/>
      <c r="CO32" s="30">
        <v>25</v>
      </c>
      <c r="CP32" s="30">
        <v>25</v>
      </c>
      <c r="CQ32" s="30">
        <v>25</v>
      </c>
      <c r="CR32" s="30">
        <v>30</v>
      </c>
      <c r="CS32" s="30">
        <v>30</v>
      </c>
      <c r="CT32" s="30">
        <v>30</v>
      </c>
      <c r="CU32" s="33">
        <v>26.25</v>
      </c>
      <c r="CV32" s="30">
        <v>15</v>
      </c>
      <c r="CW32" s="30">
        <v>25</v>
      </c>
      <c r="CX32" s="30">
        <v>25</v>
      </c>
      <c r="CY32" s="30">
        <v>25</v>
      </c>
      <c r="CZ32" s="30">
        <v>30</v>
      </c>
      <c r="DA32" s="30">
        <v>30</v>
      </c>
      <c r="DB32" s="30">
        <v>30</v>
      </c>
      <c r="DC32" s="30">
        <v>15</v>
      </c>
      <c r="DD32" s="31" t="s">
        <v>234</v>
      </c>
      <c r="DE32" s="31" t="s">
        <v>234</v>
      </c>
      <c r="DF32" s="31" t="s">
        <v>234</v>
      </c>
      <c r="DG32" s="31" t="s">
        <v>234</v>
      </c>
      <c r="DH32" s="31" t="s">
        <v>234</v>
      </c>
      <c r="DI32" s="31" t="s">
        <v>234</v>
      </c>
      <c r="DJ32" s="31" t="s">
        <v>234</v>
      </c>
      <c r="DK32" s="33">
        <v>26.25</v>
      </c>
      <c r="DL32" s="33">
        <v>25</v>
      </c>
      <c r="DM32" s="33">
        <v>21.666666666666668</v>
      </c>
      <c r="DN32" s="33">
        <v>27.5</v>
      </c>
      <c r="DO32" s="33">
        <v>25</v>
      </c>
      <c r="DP32" s="33">
        <v>27.5</v>
      </c>
      <c r="DQ32" s="30">
        <v>4</v>
      </c>
      <c r="DR32" s="33">
        <v>1</v>
      </c>
      <c r="DS32" s="30">
        <v>20</v>
      </c>
      <c r="DT32" s="30">
        <v>100</v>
      </c>
      <c r="DU32" s="30">
        <v>25</v>
      </c>
      <c r="DV32" s="30">
        <v>30</v>
      </c>
      <c r="DW32" s="30">
        <v>30</v>
      </c>
      <c r="DX32" s="30">
        <v>40</v>
      </c>
      <c r="DY32" s="30">
        <v>50</v>
      </c>
      <c r="DZ32" s="30">
        <v>55</v>
      </c>
      <c r="EA32" s="33">
        <v>32.5</v>
      </c>
      <c r="EB32" s="30">
        <v>80</v>
      </c>
      <c r="EC32" s="30">
        <v>80</v>
      </c>
      <c r="ED32" s="30">
        <v>85</v>
      </c>
      <c r="EE32" s="30">
        <v>85</v>
      </c>
      <c r="EF32" s="30">
        <v>75</v>
      </c>
      <c r="EG32" s="30">
        <v>60</v>
      </c>
      <c r="EH32" s="30">
        <v>65</v>
      </c>
      <c r="EI32" s="30">
        <v>75</v>
      </c>
      <c r="EJ32" s="31" t="s">
        <v>234</v>
      </c>
      <c r="EK32" s="31" t="s">
        <v>234</v>
      </c>
      <c r="EL32" s="31" t="s">
        <v>234</v>
      </c>
      <c r="EM32" s="31" t="s">
        <v>234</v>
      </c>
      <c r="EN32" s="31" t="s">
        <v>234</v>
      </c>
      <c r="EO32" s="31" t="s">
        <v>234</v>
      </c>
      <c r="EP32" s="31" t="s">
        <v>234</v>
      </c>
      <c r="EQ32" s="33">
        <v>82.5</v>
      </c>
      <c r="ER32" s="33">
        <v>77</v>
      </c>
      <c r="ES32" s="33">
        <v>81.666666666666671</v>
      </c>
      <c r="ET32" s="33">
        <v>80</v>
      </c>
      <c r="EU32" s="33">
        <v>66.666666666666671</v>
      </c>
      <c r="EV32" s="33">
        <v>76.25</v>
      </c>
      <c r="EW32" s="30">
        <v>2</v>
      </c>
      <c r="EX32" s="33">
        <v>3</v>
      </c>
      <c r="EY32" s="30">
        <v>85</v>
      </c>
      <c r="EZ32" s="30">
        <v>90</v>
      </c>
      <c r="FA32" s="30"/>
      <c r="FB32" s="30"/>
      <c r="FC32" s="72" t="s">
        <v>365</v>
      </c>
      <c r="FD32" s="32">
        <v>44363</v>
      </c>
      <c r="FE32" s="30">
        <v>209</v>
      </c>
      <c r="FF32" s="30"/>
      <c r="FG32" s="30">
        <v>15</v>
      </c>
      <c r="FH32" s="30">
        <v>25</v>
      </c>
      <c r="FI32" s="30">
        <v>25</v>
      </c>
      <c r="FJ32" s="30">
        <v>30</v>
      </c>
      <c r="FK32" s="30">
        <v>25</v>
      </c>
      <c r="FL32" s="30">
        <v>20</v>
      </c>
      <c r="FM32" s="33">
        <v>26.25</v>
      </c>
      <c r="FN32" s="30">
        <v>25</v>
      </c>
      <c r="FO32" s="30">
        <v>25</v>
      </c>
      <c r="FP32" s="30">
        <v>35</v>
      </c>
      <c r="FQ32" s="30">
        <v>25</v>
      </c>
      <c r="FR32" s="30">
        <v>30</v>
      </c>
      <c r="FS32" s="30">
        <v>40</v>
      </c>
      <c r="FT32" s="30">
        <v>30</v>
      </c>
      <c r="FU32" s="30">
        <v>30</v>
      </c>
      <c r="FV32" s="31" t="s">
        <v>234</v>
      </c>
      <c r="FW32" s="31" t="s">
        <v>234</v>
      </c>
      <c r="FX32" s="31" t="s">
        <v>234</v>
      </c>
      <c r="FY32" s="31" t="s">
        <v>234</v>
      </c>
      <c r="FZ32" s="31" t="s">
        <v>234</v>
      </c>
      <c r="GA32" s="31" t="s">
        <v>234</v>
      </c>
      <c r="GB32" s="31" t="s">
        <v>234</v>
      </c>
      <c r="GC32" s="33">
        <v>28.75</v>
      </c>
      <c r="GD32" s="33">
        <v>30</v>
      </c>
      <c r="GE32" s="33">
        <v>28.333333333333332</v>
      </c>
      <c r="GF32" s="33">
        <v>27.5</v>
      </c>
      <c r="GG32" s="33">
        <v>33.333333333333336</v>
      </c>
      <c r="GH32" s="33">
        <v>32.5</v>
      </c>
      <c r="GI32" s="30">
        <v>4</v>
      </c>
      <c r="GJ32" s="33">
        <v>1</v>
      </c>
      <c r="GK32" s="30">
        <v>40</v>
      </c>
      <c r="GL32" s="30">
        <v>100</v>
      </c>
      <c r="GM32" s="30">
        <v>15</v>
      </c>
      <c r="GN32" s="30">
        <v>30</v>
      </c>
      <c r="GO32" s="30">
        <v>30</v>
      </c>
      <c r="GP32" s="30">
        <v>55</v>
      </c>
      <c r="GQ32" s="30">
        <v>65</v>
      </c>
      <c r="GR32" s="30">
        <v>45</v>
      </c>
      <c r="GS32" s="30">
        <v>36.25</v>
      </c>
      <c r="GT32" s="47">
        <v>90</v>
      </c>
      <c r="GU32" s="30">
        <v>90</v>
      </c>
      <c r="GV32" s="30">
        <v>95</v>
      </c>
      <c r="GW32" s="30">
        <v>95</v>
      </c>
      <c r="GX32" s="30">
        <v>85</v>
      </c>
      <c r="GY32" s="30">
        <v>105</v>
      </c>
      <c r="GZ32" s="30">
        <v>95</v>
      </c>
      <c r="HA32" s="30">
        <v>95</v>
      </c>
      <c r="HB32" s="31" t="s">
        <v>234</v>
      </c>
      <c r="HC32" s="31" t="s">
        <v>234</v>
      </c>
      <c r="HD32" s="31" t="s">
        <v>234</v>
      </c>
      <c r="HE32" s="31" t="s">
        <v>234</v>
      </c>
      <c r="HF32" s="31" t="s">
        <v>234</v>
      </c>
      <c r="HG32" s="31" t="s">
        <v>234</v>
      </c>
      <c r="HH32" s="31" t="s">
        <v>234</v>
      </c>
      <c r="HI32" s="30">
        <v>92.5</v>
      </c>
      <c r="HJ32" s="30">
        <v>93</v>
      </c>
      <c r="HK32" s="30">
        <v>91.666666666666671</v>
      </c>
      <c r="HL32" s="30">
        <v>90</v>
      </c>
      <c r="HM32" s="30">
        <v>98.333333333333329</v>
      </c>
      <c r="HN32" s="30">
        <v>95</v>
      </c>
      <c r="HO32" s="30">
        <v>3</v>
      </c>
      <c r="HP32" s="30">
        <v>4</v>
      </c>
      <c r="HQ32" s="30">
        <v>100</v>
      </c>
      <c r="HR32" s="30">
        <v>0</v>
      </c>
      <c r="HS32" s="31" t="s">
        <v>366</v>
      </c>
      <c r="HT32" s="31" t="s">
        <v>367</v>
      </c>
      <c r="HU32" s="56"/>
      <c r="HV32" s="32">
        <v>44550</v>
      </c>
      <c r="HW32" s="30">
        <v>396</v>
      </c>
      <c r="HX32" s="30"/>
      <c r="HY32" s="30">
        <v>10</v>
      </c>
      <c r="HZ32" s="30">
        <v>15</v>
      </c>
      <c r="IA32" s="30">
        <v>20</v>
      </c>
      <c r="IB32" s="30">
        <v>30</v>
      </c>
      <c r="IC32" s="30">
        <v>25</v>
      </c>
      <c r="ID32" s="30">
        <v>30</v>
      </c>
      <c r="IE32" s="30">
        <v>21.25</v>
      </c>
      <c r="IF32" s="30">
        <v>15</v>
      </c>
      <c r="IG32" s="30">
        <v>10</v>
      </c>
      <c r="IH32" s="30">
        <v>15</v>
      </c>
      <c r="II32" s="30">
        <v>20</v>
      </c>
      <c r="IJ32" s="30">
        <v>30</v>
      </c>
      <c r="IK32" s="30">
        <v>25</v>
      </c>
      <c r="IL32" s="30">
        <v>30</v>
      </c>
      <c r="IM32" s="30">
        <v>15</v>
      </c>
      <c r="IN32" s="31" t="s">
        <v>234</v>
      </c>
      <c r="IO32" s="31" t="s">
        <v>234</v>
      </c>
      <c r="IP32" s="31" t="s">
        <v>234</v>
      </c>
      <c r="IQ32" s="31" t="s">
        <v>234</v>
      </c>
      <c r="IR32" s="31" t="s">
        <v>234</v>
      </c>
      <c r="IS32" s="31" t="s">
        <v>234</v>
      </c>
      <c r="IT32" s="31" t="s">
        <v>234</v>
      </c>
      <c r="IU32" s="30">
        <v>21.25</v>
      </c>
      <c r="IV32" s="30">
        <v>22</v>
      </c>
      <c r="IW32" s="30">
        <v>13.333333333333334</v>
      </c>
      <c r="IX32" s="30">
        <v>25</v>
      </c>
      <c r="IY32" s="30">
        <v>23.333333333333332</v>
      </c>
      <c r="IZ32" s="30">
        <v>22.5</v>
      </c>
      <c r="JA32" s="30">
        <v>3</v>
      </c>
      <c r="JB32" s="30">
        <v>1</v>
      </c>
      <c r="JC32" s="30">
        <v>25</v>
      </c>
      <c r="JD32" s="30">
        <v>100</v>
      </c>
      <c r="JE32" s="30">
        <v>10</v>
      </c>
      <c r="JF32" s="30">
        <v>35</v>
      </c>
      <c r="JG32" s="30">
        <v>35</v>
      </c>
      <c r="JH32" s="30">
        <v>65</v>
      </c>
      <c r="JI32" s="30">
        <v>60</v>
      </c>
      <c r="JJ32" s="30">
        <v>50</v>
      </c>
      <c r="JK32" s="30">
        <v>42.5</v>
      </c>
      <c r="JL32" s="30">
        <v>55</v>
      </c>
      <c r="JM32" s="30">
        <v>65</v>
      </c>
      <c r="JN32" s="30">
        <v>75</v>
      </c>
      <c r="JO32" s="30">
        <v>85</v>
      </c>
      <c r="JP32" s="30">
        <v>75</v>
      </c>
      <c r="JQ32" s="30">
        <v>60</v>
      </c>
      <c r="JR32" s="30">
        <v>70</v>
      </c>
      <c r="JS32" s="30">
        <v>65</v>
      </c>
      <c r="JT32" s="31" t="s">
        <v>234</v>
      </c>
      <c r="JU32" s="31" t="s">
        <v>234</v>
      </c>
      <c r="JV32" s="31" t="s">
        <v>234</v>
      </c>
      <c r="JW32" s="31" t="s">
        <v>234</v>
      </c>
      <c r="JX32" s="31" t="s">
        <v>234</v>
      </c>
      <c r="JY32" s="31" t="s">
        <v>234</v>
      </c>
      <c r="JZ32" s="31" t="s">
        <v>234</v>
      </c>
      <c r="KA32" s="30">
        <v>80</v>
      </c>
      <c r="KB32" s="30">
        <v>74</v>
      </c>
      <c r="KC32" s="30">
        <v>65</v>
      </c>
      <c r="KD32" s="30">
        <v>80</v>
      </c>
      <c r="KE32" s="30">
        <v>65</v>
      </c>
      <c r="KF32" s="30">
        <v>73.75</v>
      </c>
      <c r="KG32" s="30">
        <v>2</v>
      </c>
      <c r="KH32" s="30">
        <v>3</v>
      </c>
      <c r="KI32" s="30">
        <v>75</v>
      </c>
      <c r="KJ32" s="30">
        <v>100</v>
      </c>
      <c r="KK32" s="31" t="s">
        <v>368</v>
      </c>
      <c r="KL32" s="31" t="s">
        <v>369</v>
      </c>
    </row>
    <row r="33" spans="1:299" s="1" customFormat="1" ht="66">
      <c r="A33" s="8" t="s">
        <v>623</v>
      </c>
      <c r="B33" s="9">
        <v>65</v>
      </c>
      <c r="C33" s="20">
        <v>60</v>
      </c>
      <c r="D33" s="9">
        <v>2</v>
      </c>
      <c r="E33" s="9" t="s">
        <v>588</v>
      </c>
      <c r="F33" s="9">
        <v>8241</v>
      </c>
      <c r="G33" s="9" t="s">
        <v>11</v>
      </c>
      <c r="H33" s="9" t="s">
        <v>10</v>
      </c>
      <c r="I33" s="9" t="s">
        <v>1</v>
      </c>
      <c r="J33" s="19">
        <v>44355</v>
      </c>
      <c r="K33" s="30" t="s">
        <v>685</v>
      </c>
      <c r="L33" s="30" t="s">
        <v>686</v>
      </c>
      <c r="M33" s="11" t="s">
        <v>101</v>
      </c>
      <c r="N33" s="9" t="s">
        <v>102</v>
      </c>
      <c r="O33" s="10"/>
      <c r="P33" s="10">
        <v>44354</v>
      </c>
      <c r="Q33" s="10">
        <v>44438</v>
      </c>
      <c r="R33" s="10">
        <v>44585</v>
      </c>
      <c r="S33" s="10">
        <v>44767</v>
      </c>
      <c r="T33" s="32">
        <v>44354</v>
      </c>
      <c r="U33" s="30">
        <v>-1</v>
      </c>
      <c r="V33" s="30"/>
      <c r="W33" s="30">
        <v>55</v>
      </c>
      <c r="X33" s="30">
        <v>70</v>
      </c>
      <c r="Y33" s="30">
        <v>70</v>
      </c>
      <c r="Z33" s="30">
        <v>80</v>
      </c>
      <c r="AA33" s="30">
        <v>80</v>
      </c>
      <c r="AB33" s="47">
        <v>85</v>
      </c>
      <c r="AC33" s="33">
        <v>72.5</v>
      </c>
      <c r="AD33" s="47">
        <v>90</v>
      </c>
      <c r="AE33" s="30">
        <v>105</v>
      </c>
      <c r="AF33" s="30">
        <v>120</v>
      </c>
      <c r="AG33" s="30">
        <v>105</v>
      </c>
      <c r="AH33" s="30">
        <v>100</v>
      </c>
      <c r="AI33" s="30">
        <v>110</v>
      </c>
      <c r="AJ33" s="30">
        <v>115</v>
      </c>
      <c r="AK33" s="47">
        <v>115</v>
      </c>
      <c r="AL33" s="31" t="s">
        <v>234</v>
      </c>
      <c r="AM33" s="31" t="s">
        <v>234</v>
      </c>
      <c r="AN33" s="31" t="s">
        <v>234</v>
      </c>
      <c r="AO33" s="31" t="s">
        <v>234</v>
      </c>
      <c r="AP33" s="31" t="s">
        <v>234</v>
      </c>
      <c r="AQ33" s="31" t="s">
        <v>234</v>
      </c>
      <c r="AR33" s="31" t="s">
        <v>234</v>
      </c>
      <c r="AS33" s="33">
        <v>107.5</v>
      </c>
      <c r="AT33" s="33">
        <v>111</v>
      </c>
      <c r="AU33" s="33">
        <v>105</v>
      </c>
      <c r="AV33" s="33">
        <v>102.5</v>
      </c>
      <c r="AW33" s="33">
        <v>113.33333333333333</v>
      </c>
      <c r="AX33" s="33">
        <v>108.75</v>
      </c>
      <c r="AY33" s="34">
        <v>5</v>
      </c>
      <c r="AZ33" s="33">
        <v>5</v>
      </c>
      <c r="BA33" s="31" t="s">
        <v>370</v>
      </c>
      <c r="BB33" s="30">
        <v>0</v>
      </c>
      <c r="BC33" s="30">
        <v>45</v>
      </c>
      <c r="BD33" s="30">
        <v>55</v>
      </c>
      <c r="BE33" s="30">
        <v>55</v>
      </c>
      <c r="BF33" s="30">
        <v>60</v>
      </c>
      <c r="BG33" s="30">
        <v>70</v>
      </c>
      <c r="BH33" s="30">
        <v>65</v>
      </c>
      <c r="BI33" s="33">
        <v>56.25</v>
      </c>
      <c r="BJ33" s="30">
        <v>45</v>
      </c>
      <c r="BK33" s="30">
        <v>55</v>
      </c>
      <c r="BL33" s="30">
        <v>55</v>
      </c>
      <c r="BM33" s="30">
        <v>55</v>
      </c>
      <c r="BN33" s="30">
        <v>60</v>
      </c>
      <c r="BO33" s="30">
        <v>70</v>
      </c>
      <c r="BP33" s="30">
        <v>65</v>
      </c>
      <c r="BQ33" s="30">
        <v>70</v>
      </c>
      <c r="BR33" s="31" t="s">
        <v>234</v>
      </c>
      <c r="BS33" s="31" t="s">
        <v>234</v>
      </c>
      <c r="BT33" s="31" t="s">
        <v>234</v>
      </c>
      <c r="BU33" s="31" t="s">
        <v>234</v>
      </c>
      <c r="BV33" s="31" t="s">
        <v>234</v>
      </c>
      <c r="BW33" s="31" t="s">
        <v>234</v>
      </c>
      <c r="BX33" s="31" t="s">
        <v>234</v>
      </c>
      <c r="BY33" s="33">
        <v>56.25</v>
      </c>
      <c r="BZ33" s="33">
        <v>61</v>
      </c>
      <c r="CA33" s="33">
        <v>51.666666666666664</v>
      </c>
      <c r="CB33" s="33">
        <v>57.5</v>
      </c>
      <c r="CC33" s="33">
        <v>68.333333333333329</v>
      </c>
      <c r="CD33" s="33">
        <v>60</v>
      </c>
      <c r="CE33" s="30">
        <v>3</v>
      </c>
      <c r="CF33" s="33">
        <v>2</v>
      </c>
      <c r="CG33" s="30">
        <v>65</v>
      </c>
      <c r="CH33" s="30">
        <v>100</v>
      </c>
      <c r="CI33" s="31" t="s">
        <v>371</v>
      </c>
      <c r="CJ33" s="31" t="s">
        <v>372</v>
      </c>
      <c r="CK33" s="56"/>
      <c r="CL33" s="32">
        <v>44494</v>
      </c>
      <c r="CM33" s="30">
        <v>139</v>
      </c>
      <c r="CN33" s="30"/>
      <c r="CO33" s="30">
        <v>50</v>
      </c>
      <c r="CP33" s="30">
        <v>60</v>
      </c>
      <c r="CQ33" s="30">
        <v>70</v>
      </c>
      <c r="CR33" s="30">
        <v>85</v>
      </c>
      <c r="CS33" s="30">
        <v>75</v>
      </c>
      <c r="CT33" s="30">
        <v>85</v>
      </c>
      <c r="CU33" s="33">
        <v>71.25</v>
      </c>
      <c r="CV33" s="42">
        <v>90</v>
      </c>
      <c r="CW33" s="42">
        <v>110</v>
      </c>
      <c r="CX33" s="42">
        <v>125</v>
      </c>
      <c r="CY33" s="30">
        <v>120</v>
      </c>
      <c r="CZ33" s="30">
        <v>105</v>
      </c>
      <c r="DA33" s="30">
        <v>95</v>
      </c>
      <c r="DB33" s="42">
        <v>120</v>
      </c>
      <c r="DC33" s="42">
        <v>105</v>
      </c>
      <c r="DD33" s="31" t="s">
        <v>234</v>
      </c>
      <c r="DE33" s="31" t="s">
        <v>234</v>
      </c>
      <c r="DF33" s="31" t="s">
        <v>234</v>
      </c>
      <c r="DG33" s="31" t="s">
        <v>234</v>
      </c>
      <c r="DH33" s="31" t="s">
        <v>234</v>
      </c>
      <c r="DI33" s="31" t="s">
        <v>234</v>
      </c>
      <c r="DJ33" s="31" t="s">
        <v>234</v>
      </c>
      <c r="DK33" s="33">
        <v>117.5</v>
      </c>
      <c r="DL33" s="33">
        <v>115</v>
      </c>
      <c r="DM33" s="33">
        <v>108.33333333333333</v>
      </c>
      <c r="DN33" s="33">
        <v>112.5</v>
      </c>
      <c r="DO33" s="33">
        <v>106.66666666666667</v>
      </c>
      <c r="DP33" s="33">
        <v>111.25</v>
      </c>
      <c r="DQ33" s="30">
        <v>5</v>
      </c>
      <c r="DR33" s="33">
        <v>5</v>
      </c>
      <c r="DS33" s="30" t="s">
        <v>373</v>
      </c>
      <c r="DT33" s="30">
        <v>0</v>
      </c>
      <c r="DU33" s="30">
        <v>40</v>
      </c>
      <c r="DV33" s="30">
        <v>50</v>
      </c>
      <c r="DW33" s="30">
        <v>55</v>
      </c>
      <c r="DX33" s="30">
        <v>55</v>
      </c>
      <c r="DY33" s="30">
        <v>65</v>
      </c>
      <c r="DZ33" s="30">
        <v>55</v>
      </c>
      <c r="EA33" s="33">
        <v>53.75</v>
      </c>
      <c r="EB33" s="30">
        <v>40</v>
      </c>
      <c r="EC33" s="30">
        <v>55</v>
      </c>
      <c r="ED33" s="30">
        <v>50</v>
      </c>
      <c r="EE33" s="30">
        <v>55</v>
      </c>
      <c r="EF33" s="30">
        <v>55</v>
      </c>
      <c r="EG33" s="30">
        <v>65</v>
      </c>
      <c r="EH33" s="30">
        <v>65</v>
      </c>
      <c r="EI33" s="30">
        <v>60</v>
      </c>
      <c r="EJ33" s="31" t="s">
        <v>234</v>
      </c>
      <c r="EK33" s="31" t="s">
        <v>234</v>
      </c>
      <c r="EL33" s="31" t="s">
        <v>234</v>
      </c>
      <c r="EM33" s="31" t="s">
        <v>234</v>
      </c>
      <c r="EN33" s="31" t="s">
        <v>234</v>
      </c>
      <c r="EO33" s="31" t="s">
        <v>234</v>
      </c>
      <c r="EP33" s="31" t="s">
        <v>234</v>
      </c>
      <c r="EQ33" s="33">
        <v>53.75</v>
      </c>
      <c r="ER33" s="33">
        <v>57</v>
      </c>
      <c r="ES33" s="33">
        <v>48.333333333333336</v>
      </c>
      <c r="ET33" s="33">
        <v>55</v>
      </c>
      <c r="EU33" s="33">
        <v>63.333333333333336</v>
      </c>
      <c r="EV33" s="33">
        <v>56.25</v>
      </c>
      <c r="EW33" s="30">
        <v>3</v>
      </c>
      <c r="EX33" s="33">
        <v>2</v>
      </c>
      <c r="EY33" s="30">
        <v>50</v>
      </c>
      <c r="EZ33" s="30">
        <v>100</v>
      </c>
      <c r="FA33" s="31"/>
      <c r="FB33" s="31"/>
      <c r="FC33" s="72" t="s">
        <v>374</v>
      </c>
      <c r="FD33" s="32">
        <v>44585</v>
      </c>
      <c r="FE33" s="30">
        <v>230</v>
      </c>
      <c r="FF33" s="30"/>
      <c r="FG33" s="30">
        <v>35</v>
      </c>
      <c r="FH33" s="30">
        <v>60</v>
      </c>
      <c r="FI33" s="30">
        <v>65</v>
      </c>
      <c r="FJ33" s="30">
        <v>80</v>
      </c>
      <c r="FK33" s="30">
        <v>70</v>
      </c>
      <c r="FL33" s="30">
        <v>70</v>
      </c>
      <c r="FM33" s="33">
        <v>67.5</v>
      </c>
      <c r="FN33" s="30">
        <v>85</v>
      </c>
      <c r="FO33" s="30">
        <v>95</v>
      </c>
      <c r="FP33" s="30">
        <v>100</v>
      </c>
      <c r="FQ33" s="30">
        <v>115</v>
      </c>
      <c r="FR33" s="30">
        <v>105</v>
      </c>
      <c r="FS33" s="30">
        <v>100</v>
      </c>
      <c r="FT33" s="30">
        <v>110</v>
      </c>
      <c r="FU33" s="30">
        <v>105</v>
      </c>
      <c r="FV33" s="31" t="s">
        <v>234</v>
      </c>
      <c r="FW33" s="31" t="s">
        <v>234</v>
      </c>
      <c r="FX33" s="31" t="s">
        <v>234</v>
      </c>
      <c r="FY33" s="31" t="s">
        <v>234</v>
      </c>
      <c r="FZ33" s="31" t="s">
        <v>234</v>
      </c>
      <c r="GA33" s="31" t="s">
        <v>234</v>
      </c>
      <c r="GB33" s="31" t="s">
        <v>234</v>
      </c>
      <c r="GC33" s="33">
        <v>108.75</v>
      </c>
      <c r="GD33" s="33">
        <v>107</v>
      </c>
      <c r="GE33" s="33">
        <v>93.333333333333329</v>
      </c>
      <c r="GF33" s="33">
        <v>110</v>
      </c>
      <c r="GG33" s="33">
        <v>105</v>
      </c>
      <c r="GH33" s="33">
        <v>105</v>
      </c>
      <c r="GI33" s="30">
        <v>5</v>
      </c>
      <c r="GJ33" s="33">
        <v>5</v>
      </c>
      <c r="GK33" s="30">
        <v>100</v>
      </c>
      <c r="GL33" s="30">
        <v>0</v>
      </c>
      <c r="GM33" s="30">
        <v>40</v>
      </c>
      <c r="GN33" s="30">
        <v>50</v>
      </c>
      <c r="GO33" s="30">
        <v>50</v>
      </c>
      <c r="GP33" s="30">
        <v>55</v>
      </c>
      <c r="GQ33" s="30">
        <v>50</v>
      </c>
      <c r="GR33" s="30">
        <v>60</v>
      </c>
      <c r="GS33" s="30">
        <v>51.25</v>
      </c>
      <c r="GT33" s="30">
        <v>40</v>
      </c>
      <c r="GU33" s="30">
        <v>50</v>
      </c>
      <c r="GV33" s="30">
        <v>50</v>
      </c>
      <c r="GW33" s="30">
        <v>50</v>
      </c>
      <c r="GX33" s="30">
        <v>55</v>
      </c>
      <c r="GY33" s="30">
        <v>50</v>
      </c>
      <c r="GZ33" s="30">
        <v>60</v>
      </c>
      <c r="HA33" s="30">
        <v>55</v>
      </c>
      <c r="HB33" s="31" t="s">
        <v>234</v>
      </c>
      <c r="HC33" s="31" t="s">
        <v>234</v>
      </c>
      <c r="HD33" s="31" t="s">
        <v>234</v>
      </c>
      <c r="HE33" s="31" t="s">
        <v>234</v>
      </c>
      <c r="HF33" s="31" t="s">
        <v>234</v>
      </c>
      <c r="HG33" s="31" t="s">
        <v>234</v>
      </c>
      <c r="HH33" s="31" t="s">
        <v>234</v>
      </c>
      <c r="HI33" s="30">
        <v>51.25</v>
      </c>
      <c r="HJ33" s="30">
        <v>54</v>
      </c>
      <c r="HK33" s="30">
        <v>46.666666666666664</v>
      </c>
      <c r="HL33" s="30">
        <v>52.5</v>
      </c>
      <c r="HM33" s="30">
        <v>55</v>
      </c>
      <c r="HN33" s="30">
        <v>51.25</v>
      </c>
      <c r="HO33" s="30">
        <v>3</v>
      </c>
      <c r="HP33" s="30">
        <v>2</v>
      </c>
      <c r="HQ33" s="30">
        <v>60</v>
      </c>
      <c r="HR33" s="30">
        <v>100</v>
      </c>
      <c r="HS33" s="31" t="s">
        <v>375</v>
      </c>
      <c r="HT33" s="31" t="s">
        <v>376</v>
      </c>
      <c r="HU33" s="56"/>
      <c r="HV33" s="58">
        <v>44956</v>
      </c>
      <c r="HW33" s="30">
        <v>601</v>
      </c>
      <c r="HX33" s="30"/>
      <c r="HY33" s="30">
        <v>45</v>
      </c>
      <c r="HZ33" s="30">
        <v>70</v>
      </c>
      <c r="IA33" s="30">
        <v>60</v>
      </c>
      <c r="IB33" s="42">
        <v>85</v>
      </c>
      <c r="IC33" s="42">
        <v>85</v>
      </c>
      <c r="ID33" s="30">
        <v>80</v>
      </c>
      <c r="IE33" s="30">
        <v>68.75</v>
      </c>
      <c r="IF33" s="30">
        <v>80</v>
      </c>
      <c r="IG33" s="30">
        <v>90</v>
      </c>
      <c r="IH33" s="30">
        <v>100</v>
      </c>
      <c r="II33" s="30">
        <v>110</v>
      </c>
      <c r="IJ33" s="30">
        <v>105</v>
      </c>
      <c r="IK33" s="30">
        <v>115</v>
      </c>
      <c r="IL33" s="30">
        <v>120</v>
      </c>
      <c r="IM33" s="42">
        <v>110</v>
      </c>
      <c r="IN33" s="31" t="s">
        <v>234</v>
      </c>
      <c r="IO33" s="31" t="s">
        <v>234</v>
      </c>
      <c r="IP33" s="31" t="s">
        <v>234</v>
      </c>
      <c r="IQ33" s="31" t="s">
        <v>234</v>
      </c>
      <c r="IR33" s="31" t="s">
        <v>234</v>
      </c>
      <c r="IS33" s="31" t="s">
        <v>234</v>
      </c>
      <c r="IT33" s="31" t="s">
        <v>234</v>
      </c>
      <c r="IU33" s="30">
        <v>106.25</v>
      </c>
      <c r="IV33" s="30">
        <v>109</v>
      </c>
      <c r="IW33" s="30">
        <v>90</v>
      </c>
      <c r="IX33" s="30">
        <v>107.5</v>
      </c>
      <c r="IY33" s="30">
        <v>115</v>
      </c>
      <c r="IZ33" s="30">
        <v>107.5</v>
      </c>
      <c r="JA33" s="30">
        <v>5</v>
      </c>
      <c r="JB33" s="30">
        <v>5</v>
      </c>
      <c r="JC33" s="30" t="s">
        <v>377</v>
      </c>
      <c r="JD33" s="30">
        <v>0</v>
      </c>
      <c r="JE33" s="30">
        <v>40</v>
      </c>
      <c r="JF33" s="30">
        <v>50</v>
      </c>
      <c r="JG33" s="30">
        <v>50</v>
      </c>
      <c r="JH33" s="30">
        <v>55</v>
      </c>
      <c r="JI33" s="30">
        <v>60</v>
      </c>
      <c r="JJ33" s="30">
        <v>55</v>
      </c>
      <c r="JK33" s="30">
        <v>51.25</v>
      </c>
      <c r="JL33" s="30">
        <v>30</v>
      </c>
      <c r="JM33" s="30">
        <v>45</v>
      </c>
      <c r="JN33" s="30">
        <v>50</v>
      </c>
      <c r="JO33" s="30">
        <v>50</v>
      </c>
      <c r="JP33" s="30">
        <v>55</v>
      </c>
      <c r="JQ33" s="30">
        <v>60</v>
      </c>
      <c r="JR33" s="30">
        <v>65</v>
      </c>
      <c r="JS33" s="30">
        <v>55</v>
      </c>
      <c r="JT33" s="31" t="s">
        <v>234</v>
      </c>
      <c r="JU33" s="31" t="s">
        <v>234</v>
      </c>
      <c r="JV33" s="31" t="s">
        <v>234</v>
      </c>
      <c r="JW33" s="31" t="s">
        <v>234</v>
      </c>
      <c r="JX33" s="31" t="s">
        <v>234</v>
      </c>
      <c r="JY33" s="31" t="s">
        <v>234</v>
      </c>
      <c r="JZ33" s="31" t="s">
        <v>234</v>
      </c>
      <c r="KA33" s="30">
        <v>51.25</v>
      </c>
      <c r="KB33" s="30">
        <v>55</v>
      </c>
      <c r="KC33" s="30">
        <v>41.666666666666664</v>
      </c>
      <c r="KD33" s="30">
        <v>52.5</v>
      </c>
      <c r="KE33" s="30">
        <v>60</v>
      </c>
      <c r="KF33" s="30">
        <v>53.75</v>
      </c>
      <c r="KG33" s="30">
        <v>3</v>
      </c>
      <c r="KH33" s="30">
        <v>2</v>
      </c>
      <c r="KI33" s="30">
        <v>50</v>
      </c>
      <c r="KJ33" s="30">
        <v>100</v>
      </c>
      <c r="KK33" s="31" t="s">
        <v>378</v>
      </c>
      <c r="KL33" s="31" t="s">
        <v>379</v>
      </c>
    </row>
    <row r="34" spans="1:299" s="1" customFormat="1">
      <c r="A34" s="8" t="s">
        <v>624</v>
      </c>
      <c r="B34" s="1">
        <v>34</v>
      </c>
      <c r="C34" s="20">
        <v>30</v>
      </c>
      <c r="D34" s="1">
        <v>1</v>
      </c>
      <c r="E34" s="1" t="s">
        <v>590</v>
      </c>
      <c r="F34" s="1">
        <v>21110</v>
      </c>
      <c r="G34" s="12" t="s">
        <v>125</v>
      </c>
      <c r="H34" s="12" t="s">
        <v>64</v>
      </c>
      <c r="I34" s="12" t="s">
        <v>22</v>
      </c>
      <c r="J34" s="13">
        <v>44894</v>
      </c>
      <c r="K34" s="30" t="s">
        <v>685</v>
      </c>
      <c r="L34" s="30" t="s">
        <v>687</v>
      </c>
      <c r="M34" s="12" t="s">
        <v>116</v>
      </c>
      <c r="N34" s="1" t="s">
        <v>114</v>
      </c>
      <c r="T34" s="32">
        <v>44893</v>
      </c>
      <c r="U34" s="30">
        <v>-1</v>
      </c>
      <c r="V34" s="30"/>
      <c r="W34" s="30">
        <v>0</v>
      </c>
      <c r="X34" s="30">
        <v>5</v>
      </c>
      <c r="Y34" s="30">
        <v>0</v>
      </c>
      <c r="Z34" s="30">
        <v>15</v>
      </c>
      <c r="AA34" s="30">
        <v>15</v>
      </c>
      <c r="AB34" s="30">
        <v>5</v>
      </c>
      <c r="AC34" s="33">
        <v>5</v>
      </c>
      <c r="AD34" s="30">
        <v>25</v>
      </c>
      <c r="AE34" s="30">
        <v>25</v>
      </c>
      <c r="AF34" s="30">
        <v>35</v>
      </c>
      <c r="AG34" s="30">
        <v>30</v>
      </c>
      <c r="AH34" s="30">
        <v>35</v>
      </c>
      <c r="AI34" s="30">
        <v>25</v>
      </c>
      <c r="AJ34" s="30">
        <v>30</v>
      </c>
      <c r="AK34" s="30">
        <v>45</v>
      </c>
      <c r="AL34" s="31" t="s">
        <v>234</v>
      </c>
      <c r="AM34" s="31" t="s">
        <v>234</v>
      </c>
      <c r="AN34" s="31" t="s">
        <v>234</v>
      </c>
      <c r="AO34" s="31" t="s">
        <v>234</v>
      </c>
      <c r="AP34" s="31" t="s">
        <v>234</v>
      </c>
      <c r="AQ34" s="31" t="s">
        <v>234</v>
      </c>
      <c r="AR34" s="31" t="s">
        <v>234</v>
      </c>
      <c r="AS34" s="33">
        <v>32.5</v>
      </c>
      <c r="AT34" s="33">
        <v>35</v>
      </c>
      <c r="AU34" s="33">
        <v>28.333333333333332</v>
      </c>
      <c r="AV34" s="33">
        <v>32.5</v>
      </c>
      <c r="AW34" s="33">
        <v>33.333333333333336</v>
      </c>
      <c r="AX34" s="33">
        <v>31.25</v>
      </c>
      <c r="AY34" s="34">
        <v>3</v>
      </c>
      <c r="AZ34" s="33">
        <v>1</v>
      </c>
      <c r="BA34" s="30">
        <v>40</v>
      </c>
      <c r="BB34" s="30">
        <v>100</v>
      </c>
      <c r="BC34" s="30">
        <v>15</v>
      </c>
      <c r="BD34" s="30">
        <v>15</v>
      </c>
      <c r="BE34" s="30">
        <v>15</v>
      </c>
      <c r="BF34" s="30">
        <v>5</v>
      </c>
      <c r="BG34" s="30">
        <v>10</v>
      </c>
      <c r="BH34" s="30">
        <v>0</v>
      </c>
      <c r="BI34" s="33">
        <v>12.5</v>
      </c>
      <c r="BJ34" s="30">
        <v>15</v>
      </c>
      <c r="BK34" s="30">
        <v>15</v>
      </c>
      <c r="BL34" s="30">
        <v>15</v>
      </c>
      <c r="BM34" s="30">
        <v>15</v>
      </c>
      <c r="BN34" s="30">
        <v>5</v>
      </c>
      <c r="BO34" s="30">
        <v>10</v>
      </c>
      <c r="BP34" s="30">
        <v>0</v>
      </c>
      <c r="BQ34" s="30">
        <v>10</v>
      </c>
      <c r="BR34" s="31" t="s">
        <v>234</v>
      </c>
      <c r="BS34" s="31" t="s">
        <v>234</v>
      </c>
      <c r="BT34" s="31" t="s">
        <v>234</v>
      </c>
      <c r="BU34" s="31" t="s">
        <v>234</v>
      </c>
      <c r="BV34" s="31" t="s">
        <v>234</v>
      </c>
      <c r="BW34" s="31" t="s">
        <v>234</v>
      </c>
      <c r="BX34" s="31" t="s">
        <v>234</v>
      </c>
      <c r="BY34" s="33">
        <v>12.5</v>
      </c>
      <c r="BZ34" s="33">
        <v>9</v>
      </c>
      <c r="CA34" s="33">
        <v>15</v>
      </c>
      <c r="CB34" s="33">
        <v>10</v>
      </c>
      <c r="CC34" s="33">
        <v>6.666666666666667</v>
      </c>
      <c r="CD34" s="33">
        <v>11.25</v>
      </c>
      <c r="CE34" s="30">
        <v>1</v>
      </c>
      <c r="CF34" s="33">
        <v>0</v>
      </c>
      <c r="CG34" s="30">
        <v>20</v>
      </c>
      <c r="CH34" s="30">
        <v>100</v>
      </c>
      <c r="CI34" s="30" t="s">
        <v>380</v>
      </c>
      <c r="CJ34" s="31" t="s">
        <v>381</v>
      </c>
      <c r="CK34" s="30"/>
      <c r="CL34" s="32">
        <v>45000</v>
      </c>
      <c r="CM34" s="30">
        <v>106</v>
      </c>
      <c r="CN34" s="30"/>
      <c r="CO34" s="30">
        <v>10</v>
      </c>
      <c r="CP34" s="30">
        <v>20</v>
      </c>
      <c r="CQ34" s="30">
        <v>0</v>
      </c>
      <c r="CR34" s="30">
        <v>20</v>
      </c>
      <c r="CS34" s="30">
        <v>20</v>
      </c>
      <c r="CT34" s="30">
        <v>5</v>
      </c>
      <c r="CU34" s="33">
        <v>10</v>
      </c>
      <c r="CV34" s="30">
        <v>55</v>
      </c>
      <c r="CW34" s="30">
        <v>35</v>
      </c>
      <c r="CX34" s="30">
        <v>25</v>
      </c>
      <c r="CY34" s="30">
        <v>30</v>
      </c>
      <c r="CZ34" s="30">
        <v>25</v>
      </c>
      <c r="DA34" s="30">
        <v>20</v>
      </c>
      <c r="DB34" s="30">
        <v>25</v>
      </c>
      <c r="DC34" s="30">
        <v>30</v>
      </c>
      <c r="DD34" s="30" t="s">
        <v>277</v>
      </c>
      <c r="DE34" s="30" t="s">
        <v>277</v>
      </c>
      <c r="DF34" s="30" t="s">
        <v>277</v>
      </c>
      <c r="DG34" s="30" t="s">
        <v>277</v>
      </c>
      <c r="DH34" s="30" t="s">
        <v>277</v>
      </c>
      <c r="DI34" s="30" t="s">
        <v>277</v>
      </c>
      <c r="DJ34" s="30" t="s">
        <v>277</v>
      </c>
      <c r="DK34" s="33">
        <v>27.5</v>
      </c>
      <c r="DL34" s="33">
        <v>27</v>
      </c>
      <c r="DM34" s="33">
        <v>38.333333333333336</v>
      </c>
      <c r="DN34" s="33">
        <v>27.5</v>
      </c>
      <c r="DO34" s="33">
        <v>25</v>
      </c>
      <c r="DP34" s="33">
        <v>25</v>
      </c>
      <c r="DQ34" s="30">
        <v>1</v>
      </c>
      <c r="DR34" s="33">
        <v>1</v>
      </c>
      <c r="DS34" s="30">
        <v>30</v>
      </c>
      <c r="DT34" s="30">
        <v>96</v>
      </c>
      <c r="DU34" s="30">
        <v>10</v>
      </c>
      <c r="DV34" s="30">
        <v>15</v>
      </c>
      <c r="DW34" s="30">
        <v>10</v>
      </c>
      <c r="DX34" s="30">
        <v>0</v>
      </c>
      <c r="DY34" s="30">
        <v>10</v>
      </c>
      <c r="DZ34" s="30">
        <v>5</v>
      </c>
      <c r="EA34" s="33">
        <v>8.75</v>
      </c>
      <c r="EB34" s="30">
        <v>10</v>
      </c>
      <c r="EC34" s="30">
        <v>10</v>
      </c>
      <c r="ED34" s="30">
        <v>15</v>
      </c>
      <c r="EE34" s="30">
        <v>10</v>
      </c>
      <c r="EF34" s="30">
        <v>0</v>
      </c>
      <c r="EG34" s="30">
        <v>10</v>
      </c>
      <c r="EH34" s="30">
        <v>5</v>
      </c>
      <c r="EI34" s="30">
        <v>5</v>
      </c>
      <c r="EJ34" s="30" t="s">
        <v>277</v>
      </c>
      <c r="EK34" s="30" t="s">
        <v>277</v>
      </c>
      <c r="EL34" s="30" t="s">
        <v>277</v>
      </c>
      <c r="EM34" s="30" t="s">
        <v>277</v>
      </c>
      <c r="EN34" s="30" t="s">
        <v>277</v>
      </c>
      <c r="EO34" s="30" t="s">
        <v>277</v>
      </c>
      <c r="EP34" s="30" t="s">
        <v>277</v>
      </c>
      <c r="EQ34" s="33">
        <v>8.75</v>
      </c>
      <c r="ER34" s="33">
        <v>7</v>
      </c>
      <c r="ES34" s="33">
        <v>11.666666666666666</v>
      </c>
      <c r="ET34" s="33">
        <v>5</v>
      </c>
      <c r="EU34" s="33">
        <v>6.666666666666667</v>
      </c>
      <c r="EV34" s="33">
        <v>8.75</v>
      </c>
      <c r="EW34" s="30">
        <v>4</v>
      </c>
      <c r="EX34" s="33">
        <v>0</v>
      </c>
      <c r="EY34" s="30">
        <v>15</v>
      </c>
      <c r="EZ34" s="30">
        <v>100</v>
      </c>
      <c r="FA34" s="30" t="s">
        <v>382</v>
      </c>
      <c r="FB34" s="30" t="s">
        <v>383</v>
      </c>
      <c r="FC34" s="30"/>
      <c r="FD34" s="32">
        <v>45076</v>
      </c>
      <c r="FE34" s="30">
        <v>182</v>
      </c>
      <c r="FF34" s="30"/>
      <c r="FG34" s="30">
        <v>15</v>
      </c>
      <c r="FH34" s="30">
        <v>25</v>
      </c>
      <c r="FI34" s="30">
        <v>10</v>
      </c>
      <c r="FJ34" s="30">
        <v>25</v>
      </c>
      <c r="FK34" s="30">
        <v>40</v>
      </c>
      <c r="FL34" s="30">
        <v>25</v>
      </c>
      <c r="FM34" s="33">
        <v>17.5</v>
      </c>
      <c r="FN34" s="30">
        <v>45</v>
      </c>
      <c r="FO34" s="30">
        <v>45</v>
      </c>
      <c r="FP34" s="30">
        <v>65</v>
      </c>
      <c r="FQ34" s="30">
        <v>45</v>
      </c>
      <c r="FR34" s="30">
        <v>40</v>
      </c>
      <c r="FS34" s="30">
        <v>45</v>
      </c>
      <c r="FT34" s="30">
        <v>40</v>
      </c>
      <c r="FU34" s="30">
        <v>40</v>
      </c>
      <c r="FV34" s="30" t="s">
        <v>234</v>
      </c>
      <c r="FW34" s="30" t="s">
        <v>234</v>
      </c>
      <c r="FX34" s="30" t="s">
        <v>234</v>
      </c>
      <c r="FY34" s="30" t="s">
        <v>234</v>
      </c>
      <c r="FZ34" s="30" t="s">
        <v>234</v>
      </c>
      <c r="GA34" s="30" t="s">
        <v>234</v>
      </c>
      <c r="GB34" s="30" t="s">
        <v>234</v>
      </c>
      <c r="GC34" s="33">
        <v>48.75</v>
      </c>
      <c r="GD34" s="33">
        <v>46</v>
      </c>
      <c r="GE34" s="33">
        <v>51.666666666666664</v>
      </c>
      <c r="GF34" s="33">
        <v>42.5</v>
      </c>
      <c r="GG34" s="33">
        <v>41.666666666666664</v>
      </c>
      <c r="GH34" s="33">
        <v>48.75</v>
      </c>
      <c r="GI34" s="30">
        <v>2</v>
      </c>
      <c r="GJ34" s="33">
        <v>2</v>
      </c>
      <c r="GK34" s="30">
        <v>55</v>
      </c>
      <c r="GL34" s="30">
        <v>88</v>
      </c>
      <c r="GM34" s="30">
        <v>15</v>
      </c>
      <c r="GN34" s="30">
        <v>20</v>
      </c>
      <c r="GO34" s="30">
        <v>15</v>
      </c>
      <c r="GP34" s="30">
        <v>0</v>
      </c>
      <c r="GQ34" s="30">
        <v>5</v>
      </c>
      <c r="GR34" s="30">
        <v>5</v>
      </c>
      <c r="GS34" s="30">
        <v>12.5</v>
      </c>
      <c r="GT34" s="30">
        <v>15</v>
      </c>
      <c r="GU34" s="30">
        <v>15</v>
      </c>
      <c r="GV34" s="30">
        <v>20</v>
      </c>
      <c r="GW34" s="30">
        <v>15</v>
      </c>
      <c r="GX34" s="30">
        <v>0</v>
      </c>
      <c r="GY34" s="30">
        <v>5</v>
      </c>
      <c r="GZ34" s="30">
        <v>5</v>
      </c>
      <c r="HA34" s="30">
        <v>5</v>
      </c>
      <c r="HB34" s="30" t="s">
        <v>277</v>
      </c>
      <c r="HC34" s="30" t="s">
        <v>277</v>
      </c>
      <c r="HD34" s="30" t="s">
        <v>277</v>
      </c>
      <c r="HE34" s="30" t="s">
        <v>277</v>
      </c>
      <c r="HF34" s="30" t="s">
        <v>277</v>
      </c>
      <c r="HG34" s="30" t="s">
        <v>277</v>
      </c>
      <c r="HH34" s="30" t="s">
        <v>277</v>
      </c>
      <c r="HI34" s="30">
        <v>12.5</v>
      </c>
      <c r="HJ34" s="30">
        <v>9</v>
      </c>
      <c r="HK34" s="30">
        <v>16.666666666666668</v>
      </c>
      <c r="HL34" s="30">
        <v>7.5</v>
      </c>
      <c r="HM34" s="30">
        <v>5</v>
      </c>
      <c r="HN34" s="30">
        <v>10</v>
      </c>
      <c r="HO34" s="30">
        <v>1</v>
      </c>
      <c r="HP34" s="30">
        <v>0</v>
      </c>
      <c r="HQ34" s="30">
        <v>20</v>
      </c>
      <c r="HR34" s="30">
        <v>100</v>
      </c>
      <c r="HS34" s="30" t="s">
        <v>384</v>
      </c>
      <c r="HT34" s="30" t="s">
        <v>385</v>
      </c>
      <c r="HU34" s="30"/>
      <c r="HV34" s="32">
        <v>45257</v>
      </c>
      <c r="HW34" s="30">
        <v>363</v>
      </c>
      <c r="HX34" s="30"/>
      <c r="HY34" s="30">
        <v>5</v>
      </c>
      <c r="HZ34" s="30">
        <v>10</v>
      </c>
      <c r="IA34" s="30">
        <v>5</v>
      </c>
      <c r="IB34" s="30">
        <v>30</v>
      </c>
      <c r="IC34" s="30">
        <v>40</v>
      </c>
      <c r="ID34" s="30">
        <v>35</v>
      </c>
      <c r="IE34" s="30">
        <v>12.5</v>
      </c>
      <c r="IF34" s="30">
        <v>40</v>
      </c>
      <c r="IG34" s="30">
        <v>40</v>
      </c>
      <c r="IH34" s="30">
        <v>55</v>
      </c>
      <c r="II34" s="30">
        <v>40</v>
      </c>
      <c r="IJ34" s="30">
        <v>45</v>
      </c>
      <c r="IK34" s="30">
        <v>45</v>
      </c>
      <c r="IL34" s="30">
        <v>45</v>
      </c>
      <c r="IM34" s="30">
        <v>80</v>
      </c>
      <c r="IN34" s="30" t="s">
        <v>277</v>
      </c>
      <c r="IO34" s="30" t="s">
        <v>277</v>
      </c>
      <c r="IP34" s="30" t="s">
        <v>277</v>
      </c>
      <c r="IQ34" s="30" t="s">
        <v>277</v>
      </c>
      <c r="IR34" s="30" t="s">
        <v>277</v>
      </c>
      <c r="IS34" s="30" t="s">
        <v>277</v>
      </c>
      <c r="IT34" s="30" t="s">
        <v>277</v>
      </c>
      <c r="IU34" s="30">
        <v>45</v>
      </c>
      <c r="IV34" s="30">
        <v>53</v>
      </c>
      <c r="IW34" s="30">
        <v>45</v>
      </c>
      <c r="IX34" s="30">
        <v>42.5</v>
      </c>
      <c r="IY34" s="30">
        <v>56.666666666666664</v>
      </c>
      <c r="IZ34" s="30">
        <v>46.25</v>
      </c>
      <c r="JA34" s="30">
        <v>6</v>
      </c>
      <c r="JB34" s="30">
        <v>2</v>
      </c>
      <c r="JC34" s="30">
        <v>45</v>
      </c>
      <c r="JD34" s="30">
        <v>96</v>
      </c>
      <c r="JE34" s="30">
        <v>25</v>
      </c>
      <c r="JF34" s="30">
        <v>25</v>
      </c>
      <c r="JG34" s="30">
        <v>15</v>
      </c>
      <c r="JH34" s="30">
        <v>0</v>
      </c>
      <c r="JI34" s="30">
        <v>5</v>
      </c>
      <c r="JJ34" s="30">
        <v>0</v>
      </c>
      <c r="JK34" s="30">
        <v>13.75</v>
      </c>
      <c r="JL34" s="30">
        <v>20</v>
      </c>
      <c r="JM34" s="30">
        <v>30</v>
      </c>
      <c r="JN34" s="30">
        <v>25</v>
      </c>
      <c r="JO34" s="30">
        <v>15</v>
      </c>
      <c r="JP34" s="30">
        <v>0</v>
      </c>
      <c r="JQ34" s="30">
        <v>5</v>
      </c>
      <c r="JR34" s="30">
        <v>0</v>
      </c>
      <c r="JS34" s="30">
        <v>10</v>
      </c>
      <c r="JT34" s="30" t="s">
        <v>277</v>
      </c>
      <c r="JU34" s="30" t="s">
        <v>277</v>
      </c>
      <c r="JV34" s="30" t="s">
        <v>277</v>
      </c>
      <c r="JW34" s="30" t="s">
        <v>277</v>
      </c>
      <c r="JX34" s="30" t="s">
        <v>277</v>
      </c>
      <c r="JY34" s="30" t="s">
        <v>277</v>
      </c>
      <c r="JZ34" s="30" t="s">
        <v>277</v>
      </c>
      <c r="KA34" s="30">
        <v>13.75</v>
      </c>
      <c r="KB34" s="30">
        <v>10</v>
      </c>
      <c r="KC34" s="30">
        <v>25</v>
      </c>
      <c r="KD34" s="30">
        <v>7.5</v>
      </c>
      <c r="KE34" s="30">
        <v>5</v>
      </c>
      <c r="KF34" s="30">
        <v>11.25</v>
      </c>
      <c r="KG34" s="30">
        <v>6</v>
      </c>
      <c r="KH34" s="30">
        <v>0</v>
      </c>
      <c r="KI34" s="30">
        <v>15</v>
      </c>
      <c r="KJ34" s="30">
        <v>100</v>
      </c>
      <c r="KK34" s="30" t="s">
        <v>386</v>
      </c>
      <c r="KL34" s="30" t="s">
        <v>387</v>
      </c>
    </row>
    <row r="35" spans="1:299" s="1" customFormat="1" ht="33">
      <c r="A35" s="8" t="s">
        <v>625</v>
      </c>
      <c r="B35" s="1">
        <v>62</v>
      </c>
      <c r="C35" s="20">
        <v>60</v>
      </c>
      <c r="D35" s="1">
        <v>2</v>
      </c>
      <c r="E35" s="1" t="s">
        <v>588</v>
      </c>
      <c r="F35" s="1">
        <v>21116</v>
      </c>
      <c r="G35" s="13" t="s">
        <v>44</v>
      </c>
      <c r="H35" s="12" t="s">
        <v>45</v>
      </c>
      <c r="I35" s="12" t="s">
        <v>22</v>
      </c>
      <c r="J35" s="13">
        <v>44988</v>
      </c>
      <c r="K35" s="30" t="s">
        <v>664</v>
      </c>
      <c r="L35" s="30" t="s">
        <v>688</v>
      </c>
      <c r="M35" s="14" t="s">
        <v>133</v>
      </c>
      <c r="N35" s="12" t="s">
        <v>114</v>
      </c>
      <c r="O35" s="1">
        <v>0</v>
      </c>
      <c r="P35" s="10">
        <v>44986</v>
      </c>
      <c r="R35" s="10">
        <v>45341</v>
      </c>
      <c r="T35" s="32">
        <v>44965</v>
      </c>
      <c r="U35" s="30">
        <v>-22</v>
      </c>
      <c r="V35" s="30"/>
      <c r="W35" s="30">
        <v>15</v>
      </c>
      <c r="X35" s="30">
        <v>30</v>
      </c>
      <c r="Y35" s="30">
        <v>10</v>
      </c>
      <c r="Z35" s="30">
        <v>30</v>
      </c>
      <c r="AA35" s="30">
        <v>15</v>
      </c>
      <c r="AB35" s="30">
        <v>25</v>
      </c>
      <c r="AC35" s="33">
        <v>20</v>
      </c>
      <c r="AD35" s="30">
        <v>60</v>
      </c>
      <c r="AE35" s="30">
        <v>55</v>
      </c>
      <c r="AF35" s="30">
        <v>50</v>
      </c>
      <c r="AG35" s="30">
        <v>55</v>
      </c>
      <c r="AH35" s="30">
        <v>35</v>
      </c>
      <c r="AI35" s="30">
        <v>50</v>
      </c>
      <c r="AJ35" s="30">
        <v>60</v>
      </c>
      <c r="AK35" s="30">
        <v>85</v>
      </c>
      <c r="AL35" s="31" t="s">
        <v>234</v>
      </c>
      <c r="AM35" s="31" t="s">
        <v>234</v>
      </c>
      <c r="AN35" s="31" t="s">
        <v>234</v>
      </c>
      <c r="AO35" s="31" t="s">
        <v>234</v>
      </c>
      <c r="AP35" s="31" t="s">
        <v>234</v>
      </c>
      <c r="AQ35" s="31" t="s">
        <v>234</v>
      </c>
      <c r="AR35" s="31" t="s">
        <v>234</v>
      </c>
      <c r="AS35" s="33">
        <v>48.75</v>
      </c>
      <c r="AT35" s="33">
        <v>57</v>
      </c>
      <c r="AU35" s="33">
        <v>55</v>
      </c>
      <c r="AV35" s="33">
        <v>45</v>
      </c>
      <c r="AW35" s="33">
        <v>65</v>
      </c>
      <c r="AX35" s="33">
        <v>47.5</v>
      </c>
      <c r="AY35" s="34" t="s">
        <v>235</v>
      </c>
      <c r="AZ35" s="33">
        <v>2</v>
      </c>
      <c r="BA35" s="30">
        <v>55</v>
      </c>
      <c r="BB35" s="30">
        <v>90</v>
      </c>
      <c r="BC35" s="30">
        <v>10</v>
      </c>
      <c r="BD35" s="30">
        <v>20</v>
      </c>
      <c r="BE35" s="30">
        <v>15</v>
      </c>
      <c r="BF35" s="30">
        <v>20</v>
      </c>
      <c r="BG35" s="30">
        <v>20</v>
      </c>
      <c r="BH35" s="30">
        <v>25</v>
      </c>
      <c r="BI35" s="33">
        <v>17.5</v>
      </c>
      <c r="BJ35" s="30">
        <v>15</v>
      </c>
      <c r="BK35" s="30">
        <v>15</v>
      </c>
      <c r="BL35" s="30">
        <v>20</v>
      </c>
      <c r="BM35" s="30">
        <v>15</v>
      </c>
      <c r="BN35" s="30">
        <v>20</v>
      </c>
      <c r="BO35" s="30">
        <v>20</v>
      </c>
      <c r="BP35" s="30">
        <v>30</v>
      </c>
      <c r="BQ35" s="30">
        <v>50</v>
      </c>
      <c r="BR35" s="31" t="s">
        <v>234</v>
      </c>
      <c r="BS35" s="31" t="s">
        <v>234</v>
      </c>
      <c r="BT35" s="31" t="s">
        <v>234</v>
      </c>
      <c r="BU35" s="31" t="s">
        <v>234</v>
      </c>
      <c r="BV35" s="31" t="s">
        <v>234</v>
      </c>
      <c r="BW35" s="31" t="s">
        <v>234</v>
      </c>
      <c r="BX35" s="31" t="s">
        <v>234</v>
      </c>
      <c r="BY35" s="33">
        <v>17.5</v>
      </c>
      <c r="BZ35" s="33">
        <v>27</v>
      </c>
      <c r="CA35" s="33">
        <v>16.666666666666668</v>
      </c>
      <c r="CB35" s="33">
        <v>17.5</v>
      </c>
      <c r="CC35" s="33">
        <v>33.333333333333336</v>
      </c>
      <c r="CD35" s="33">
        <v>18.75</v>
      </c>
      <c r="CE35" s="30">
        <v>3</v>
      </c>
      <c r="CF35" s="33">
        <v>0</v>
      </c>
      <c r="CG35" s="30">
        <v>25</v>
      </c>
      <c r="CH35" s="30">
        <v>100</v>
      </c>
      <c r="CI35" s="30"/>
      <c r="CJ35" s="30"/>
      <c r="CK35" s="56" t="s">
        <v>388</v>
      </c>
      <c r="CL35" s="32">
        <v>45076</v>
      </c>
      <c r="CM35" s="30">
        <v>89</v>
      </c>
      <c r="CN35" s="30"/>
      <c r="CO35" s="30">
        <v>10</v>
      </c>
      <c r="CP35" s="30">
        <v>35</v>
      </c>
      <c r="CQ35" s="30">
        <v>15</v>
      </c>
      <c r="CR35" s="30">
        <v>45</v>
      </c>
      <c r="CS35" s="30">
        <v>35</v>
      </c>
      <c r="CT35" s="30">
        <v>20</v>
      </c>
      <c r="CU35" s="33">
        <v>27.5</v>
      </c>
      <c r="CV35" s="30">
        <v>55</v>
      </c>
      <c r="CW35" s="30">
        <v>45</v>
      </c>
      <c r="CX35" s="30">
        <v>50</v>
      </c>
      <c r="CY35" s="30">
        <v>30</v>
      </c>
      <c r="CZ35" s="30">
        <v>45</v>
      </c>
      <c r="DA35" s="30">
        <v>55</v>
      </c>
      <c r="DB35" s="30">
        <v>60</v>
      </c>
      <c r="DC35" s="30">
        <v>80</v>
      </c>
      <c r="DD35" s="30" t="s">
        <v>277</v>
      </c>
      <c r="DE35" s="30" t="s">
        <v>277</v>
      </c>
      <c r="DF35" s="30" t="s">
        <v>277</v>
      </c>
      <c r="DG35" s="30" t="s">
        <v>277</v>
      </c>
      <c r="DH35" s="30" t="s">
        <v>277</v>
      </c>
      <c r="DI35" s="30" t="s">
        <v>277</v>
      </c>
      <c r="DJ35" s="30" t="s">
        <v>277</v>
      </c>
      <c r="DK35" s="33">
        <v>38.75</v>
      </c>
      <c r="DL35" s="33">
        <v>53</v>
      </c>
      <c r="DM35" s="33">
        <v>50</v>
      </c>
      <c r="DN35" s="33">
        <v>37.5</v>
      </c>
      <c r="DO35" s="33">
        <v>65</v>
      </c>
      <c r="DP35" s="33">
        <v>45</v>
      </c>
      <c r="DQ35" s="30">
        <v>6</v>
      </c>
      <c r="DR35" s="33">
        <v>2</v>
      </c>
      <c r="DS35" s="30">
        <v>50</v>
      </c>
      <c r="DT35" s="30">
        <v>100</v>
      </c>
      <c r="DU35" s="30">
        <v>10</v>
      </c>
      <c r="DV35" s="30">
        <v>20</v>
      </c>
      <c r="DW35" s="30">
        <v>15</v>
      </c>
      <c r="DX35" s="30">
        <v>20</v>
      </c>
      <c r="DY35" s="30">
        <v>25</v>
      </c>
      <c r="DZ35" s="30">
        <v>20</v>
      </c>
      <c r="EA35" s="33">
        <v>17.5</v>
      </c>
      <c r="EB35" s="30">
        <v>25</v>
      </c>
      <c r="EC35" s="30">
        <v>20</v>
      </c>
      <c r="ED35" s="30">
        <v>20</v>
      </c>
      <c r="EE35" s="30">
        <v>15</v>
      </c>
      <c r="EF35" s="30">
        <v>20</v>
      </c>
      <c r="EG35" s="30">
        <v>25</v>
      </c>
      <c r="EH35" s="30">
        <v>40</v>
      </c>
      <c r="EI35" s="30">
        <v>50</v>
      </c>
      <c r="EJ35" s="30" t="s">
        <v>277</v>
      </c>
      <c r="EK35" s="30" t="s">
        <v>277</v>
      </c>
      <c r="EL35" s="30" t="s">
        <v>277</v>
      </c>
      <c r="EM35" s="30" t="s">
        <v>277</v>
      </c>
      <c r="EN35" s="30" t="s">
        <v>277</v>
      </c>
      <c r="EO35" s="30" t="s">
        <v>277</v>
      </c>
      <c r="EP35" s="30" t="s">
        <v>277</v>
      </c>
      <c r="EQ35" s="33">
        <v>17.5</v>
      </c>
      <c r="ER35" s="33">
        <v>29</v>
      </c>
      <c r="ES35" s="33">
        <v>21.666666666666668</v>
      </c>
      <c r="ET35" s="33">
        <v>17.5</v>
      </c>
      <c r="EU35" s="33">
        <v>38.333333333333336</v>
      </c>
      <c r="EV35" s="33">
        <v>20</v>
      </c>
      <c r="EW35" s="30">
        <v>6</v>
      </c>
      <c r="EX35" s="33">
        <v>0</v>
      </c>
      <c r="EY35" s="30">
        <v>25</v>
      </c>
      <c r="EZ35" s="30">
        <v>100</v>
      </c>
      <c r="FA35" s="30" t="s">
        <v>389</v>
      </c>
      <c r="FB35" s="30" t="s">
        <v>390</v>
      </c>
      <c r="FC35" s="56"/>
      <c r="FD35" s="32">
        <v>45188</v>
      </c>
      <c r="FE35" s="30">
        <v>201</v>
      </c>
      <c r="FF35" s="30"/>
      <c r="FG35" s="30">
        <v>15</v>
      </c>
      <c r="FH35" s="30">
        <v>30</v>
      </c>
      <c r="FI35" s="30">
        <v>10</v>
      </c>
      <c r="FJ35" s="30">
        <v>45</v>
      </c>
      <c r="FK35" s="30">
        <v>35</v>
      </c>
      <c r="FL35" s="30">
        <v>25</v>
      </c>
      <c r="FM35" s="33">
        <v>23.75</v>
      </c>
      <c r="FN35" s="30">
        <v>45</v>
      </c>
      <c r="FO35" s="30">
        <v>40</v>
      </c>
      <c r="FP35" s="30">
        <v>45</v>
      </c>
      <c r="FQ35" s="30">
        <v>25</v>
      </c>
      <c r="FR35" s="30">
        <v>45</v>
      </c>
      <c r="FS35" s="30">
        <v>55</v>
      </c>
      <c r="FT35" s="30">
        <v>65</v>
      </c>
      <c r="FU35" s="30">
        <v>75</v>
      </c>
      <c r="FV35" s="30" t="s">
        <v>234</v>
      </c>
      <c r="FW35" s="30" t="s">
        <v>234</v>
      </c>
      <c r="FX35" s="30" t="s">
        <v>234</v>
      </c>
      <c r="FY35" s="30" t="s">
        <v>234</v>
      </c>
      <c r="FZ35" s="30" t="s">
        <v>234</v>
      </c>
      <c r="GA35" s="30" t="s">
        <v>234</v>
      </c>
      <c r="GB35" s="30" t="s">
        <v>234</v>
      </c>
      <c r="GC35" s="33">
        <v>35</v>
      </c>
      <c r="GD35" s="33">
        <v>51</v>
      </c>
      <c r="GE35" s="33">
        <v>43.333333333333336</v>
      </c>
      <c r="GF35" s="33">
        <v>35</v>
      </c>
      <c r="GG35" s="33">
        <v>65</v>
      </c>
      <c r="GH35" s="33">
        <v>42.5</v>
      </c>
      <c r="GI35" s="30">
        <v>6</v>
      </c>
      <c r="GJ35" s="33">
        <v>2</v>
      </c>
      <c r="GK35" s="30">
        <v>45</v>
      </c>
      <c r="GL35" s="30">
        <v>100</v>
      </c>
      <c r="GM35" s="30">
        <v>15</v>
      </c>
      <c r="GN35" s="30">
        <v>20</v>
      </c>
      <c r="GO35" s="30">
        <v>15</v>
      </c>
      <c r="GP35" s="30">
        <v>20</v>
      </c>
      <c r="GQ35" s="30">
        <v>30</v>
      </c>
      <c r="GR35" s="30">
        <v>30</v>
      </c>
      <c r="GS35" s="30">
        <v>17.5</v>
      </c>
      <c r="GT35" s="30">
        <v>20</v>
      </c>
      <c r="GU35" s="30">
        <v>15</v>
      </c>
      <c r="GV35" s="30">
        <v>20</v>
      </c>
      <c r="GW35" s="30">
        <v>15</v>
      </c>
      <c r="GX35" s="30">
        <v>20</v>
      </c>
      <c r="GY35" s="30">
        <v>30</v>
      </c>
      <c r="GZ35" s="30">
        <v>35</v>
      </c>
      <c r="HA35" s="30">
        <v>60</v>
      </c>
      <c r="HB35" s="30" t="s">
        <v>277</v>
      </c>
      <c r="HC35" s="30" t="s">
        <v>277</v>
      </c>
      <c r="HD35" s="30" t="s">
        <v>277</v>
      </c>
      <c r="HE35" s="30" t="s">
        <v>277</v>
      </c>
      <c r="HF35" s="30" t="s">
        <v>277</v>
      </c>
      <c r="HG35" s="30" t="s">
        <v>277</v>
      </c>
      <c r="HH35" s="30" t="s">
        <v>277</v>
      </c>
      <c r="HI35" s="30">
        <v>17.5</v>
      </c>
      <c r="HJ35" s="30">
        <v>30</v>
      </c>
      <c r="HK35" s="30">
        <v>18.333333333333332</v>
      </c>
      <c r="HL35" s="30">
        <v>17.5</v>
      </c>
      <c r="HM35" s="30">
        <v>41.666666666666664</v>
      </c>
      <c r="HN35" s="30">
        <v>21.25</v>
      </c>
      <c r="HO35" s="30">
        <v>3</v>
      </c>
      <c r="HP35" s="30">
        <v>1</v>
      </c>
      <c r="HQ35" s="30">
        <v>20</v>
      </c>
      <c r="HR35" s="30">
        <v>100</v>
      </c>
      <c r="HS35" s="30" t="s">
        <v>391</v>
      </c>
      <c r="HT35" s="30" t="s">
        <v>392</v>
      </c>
      <c r="HU35" s="56"/>
      <c r="HV35" s="32">
        <v>45341</v>
      </c>
      <c r="HW35" s="30">
        <v>354</v>
      </c>
      <c r="HX35" s="30"/>
      <c r="HY35" s="30">
        <v>20</v>
      </c>
      <c r="HZ35" s="30">
        <v>25</v>
      </c>
      <c r="IA35" s="30">
        <v>10</v>
      </c>
      <c r="IB35" s="30">
        <v>40</v>
      </c>
      <c r="IC35" s="30">
        <v>35</v>
      </c>
      <c r="ID35" s="30">
        <v>30</v>
      </c>
      <c r="IE35" s="30">
        <v>21.25</v>
      </c>
      <c r="IF35" s="30">
        <v>40</v>
      </c>
      <c r="IG35" s="30">
        <v>40</v>
      </c>
      <c r="IH35" s="30">
        <v>40</v>
      </c>
      <c r="II35" s="30">
        <v>25</v>
      </c>
      <c r="IJ35" s="30">
        <v>45</v>
      </c>
      <c r="IK35" s="30">
        <v>60</v>
      </c>
      <c r="IL35" s="30">
        <v>65</v>
      </c>
      <c r="IM35" s="30">
        <v>100</v>
      </c>
      <c r="IN35" s="30" t="s">
        <v>277</v>
      </c>
      <c r="IO35" s="30" t="s">
        <v>277</v>
      </c>
      <c r="IP35" s="30" t="s">
        <v>277</v>
      </c>
      <c r="IQ35" s="30" t="s">
        <v>277</v>
      </c>
      <c r="IR35" s="30" t="s">
        <v>277</v>
      </c>
      <c r="IS35" s="30" t="s">
        <v>277</v>
      </c>
      <c r="IT35" s="30" t="s">
        <v>277</v>
      </c>
      <c r="IU35" s="30">
        <v>33.75</v>
      </c>
      <c r="IV35" s="30">
        <v>55</v>
      </c>
      <c r="IW35" s="30">
        <v>40</v>
      </c>
      <c r="IX35" s="30">
        <v>35</v>
      </c>
      <c r="IY35" s="30">
        <v>75</v>
      </c>
      <c r="IZ35" s="30">
        <v>42.5</v>
      </c>
      <c r="JA35" s="30">
        <v>3</v>
      </c>
      <c r="JB35" s="30">
        <v>2</v>
      </c>
      <c r="JC35" s="30">
        <v>20</v>
      </c>
      <c r="JD35" s="30">
        <v>92</v>
      </c>
      <c r="JE35" s="30">
        <v>15</v>
      </c>
      <c r="JF35" s="30">
        <v>15</v>
      </c>
      <c r="JG35" s="30">
        <v>10</v>
      </c>
      <c r="JH35" s="30">
        <v>20</v>
      </c>
      <c r="JI35" s="30">
        <v>25</v>
      </c>
      <c r="JJ35" s="30">
        <v>30</v>
      </c>
      <c r="JK35" s="30">
        <v>13.75</v>
      </c>
      <c r="JL35" s="30">
        <v>20</v>
      </c>
      <c r="JM35" s="30">
        <v>15</v>
      </c>
      <c r="JN35" s="30">
        <v>15</v>
      </c>
      <c r="JO35" s="30">
        <v>10</v>
      </c>
      <c r="JP35" s="30">
        <v>20</v>
      </c>
      <c r="JQ35" s="30">
        <v>25</v>
      </c>
      <c r="JR35" s="30">
        <v>30</v>
      </c>
      <c r="JS35" s="30">
        <v>60</v>
      </c>
      <c r="JT35" s="30" t="s">
        <v>277</v>
      </c>
      <c r="JU35" s="30" t="s">
        <v>277</v>
      </c>
      <c r="JV35" s="30" t="s">
        <v>277</v>
      </c>
      <c r="JW35" s="30" t="s">
        <v>277</v>
      </c>
      <c r="JX35" s="30" t="s">
        <v>277</v>
      </c>
      <c r="JY35" s="30" t="s">
        <v>277</v>
      </c>
      <c r="JZ35" s="30" t="s">
        <v>277</v>
      </c>
      <c r="KA35" s="30">
        <v>13.75</v>
      </c>
      <c r="KB35" s="30">
        <v>27</v>
      </c>
      <c r="KC35" s="30">
        <v>16.666666666666668</v>
      </c>
      <c r="KD35" s="30">
        <v>15</v>
      </c>
      <c r="KE35" s="30">
        <v>38.333333333333336</v>
      </c>
      <c r="KF35" s="30">
        <v>17.5</v>
      </c>
      <c r="KG35" s="30">
        <v>3</v>
      </c>
      <c r="KH35" s="30">
        <v>0</v>
      </c>
      <c r="KI35" s="30">
        <v>20</v>
      </c>
      <c r="KJ35" s="30">
        <v>100</v>
      </c>
      <c r="KK35" s="30"/>
      <c r="KL35" s="30"/>
    </row>
    <row r="36" spans="1:299" s="1" customFormat="1">
      <c r="A36" s="8" t="s">
        <v>626</v>
      </c>
      <c r="B36" s="9">
        <v>42</v>
      </c>
      <c r="C36" s="20">
        <v>40</v>
      </c>
      <c r="D36" s="9">
        <v>1</v>
      </c>
      <c r="E36" s="9" t="s">
        <v>588</v>
      </c>
      <c r="F36" s="9">
        <v>8240</v>
      </c>
      <c r="G36" s="9" t="s">
        <v>7</v>
      </c>
      <c r="H36" s="9" t="s">
        <v>5</v>
      </c>
      <c r="I36" s="9" t="s">
        <v>1</v>
      </c>
      <c r="J36" s="19">
        <v>44397</v>
      </c>
      <c r="K36" s="30" t="s">
        <v>689</v>
      </c>
      <c r="L36" s="30" t="s">
        <v>690</v>
      </c>
      <c r="M36" s="9" t="s">
        <v>119</v>
      </c>
      <c r="N36" s="9" t="s">
        <v>96</v>
      </c>
      <c r="O36" s="10"/>
      <c r="P36" s="10"/>
      <c r="Q36" s="10"/>
      <c r="R36" s="10"/>
      <c r="S36" s="70"/>
      <c r="T36" s="35">
        <v>44396</v>
      </c>
      <c r="U36" s="30">
        <v>-1</v>
      </c>
      <c r="V36" s="30" t="s">
        <v>568</v>
      </c>
      <c r="W36" s="30">
        <v>5</v>
      </c>
      <c r="X36" s="30">
        <v>15</v>
      </c>
      <c r="Y36" s="30">
        <v>5</v>
      </c>
      <c r="Z36" s="30">
        <v>15</v>
      </c>
      <c r="AA36" s="30">
        <v>20</v>
      </c>
      <c r="AB36" s="30">
        <v>5</v>
      </c>
      <c r="AC36" s="33">
        <v>10</v>
      </c>
      <c r="AD36" s="30">
        <v>15</v>
      </c>
      <c r="AE36" s="30">
        <v>25</v>
      </c>
      <c r="AF36" s="30">
        <v>30</v>
      </c>
      <c r="AG36" s="30">
        <v>30</v>
      </c>
      <c r="AH36" s="30">
        <v>25</v>
      </c>
      <c r="AI36" s="30">
        <v>30</v>
      </c>
      <c r="AJ36" s="30">
        <v>25</v>
      </c>
      <c r="AK36" s="30">
        <v>30</v>
      </c>
      <c r="AL36" s="31" t="s">
        <v>234</v>
      </c>
      <c r="AM36" s="31" t="s">
        <v>234</v>
      </c>
      <c r="AN36" s="31" t="s">
        <v>234</v>
      </c>
      <c r="AO36" s="31" t="s">
        <v>234</v>
      </c>
      <c r="AP36" s="31" t="s">
        <v>234</v>
      </c>
      <c r="AQ36" s="31" t="s">
        <v>234</v>
      </c>
      <c r="AR36" s="31" t="s">
        <v>234</v>
      </c>
      <c r="AS36" s="33">
        <v>28.75</v>
      </c>
      <c r="AT36" s="33">
        <v>28</v>
      </c>
      <c r="AU36" s="33">
        <v>23.333333333333332</v>
      </c>
      <c r="AV36" s="33">
        <v>27.5</v>
      </c>
      <c r="AW36" s="33">
        <v>28.333333333333332</v>
      </c>
      <c r="AX36" s="33">
        <v>28.75</v>
      </c>
      <c r="AY36" s="34">
        <v>3</v>
      </c>
      <c r="AZ36" s="33">
        <v>1</v>
      </c>
      <c r="BA36" s="30">
        <v>20</v>
      </c>
      <c r="BB36" s="30">
        <v>100</v>
      </c>
      <c r="BC36" s="30">
        <v>0</v>
      </c>
      <c r="BD36" s="30">
        <v>0</v>
      </c>
      <c r="BE36" s="30">
        <v>5</v>
      </c>
      <c r="BF36" s="30">
        <v>25</v>
      </c>
      <c r="BG36" s="30">
        <v>10</v>
      </c>
      <c r="BH36" s="30">
        <v>10</v>
      </c>
      <c r="BI36" s="33">
        <v>8.75</v>
      </c>
      <c r="BJ36" s="30">
        <v>35</v>
      </c>
      <c r="BK36" s="30">
        <v>35</v>
      </c>
      <c r="BL36" s="30">
        <v>30</v>
      </c>
      <c r="BM36" s="30">
        <v>30</v>
      </c>
      <c r="BN36" s="30">
        <v>35</v>
      </c>
      <c r="BO36" s="30">
        <v>25</v>
      </c>
      <c r="BP36" s="30">
        <v>30</v>
      </c>
      <c r="BQ36" s="30">
        <v>25</v>
      </c>
      <c r="BR36" s="31" t="s">
        <v>234</v>
      </c>
      <c r="BS36" s="31" t="s">
        <v>234</v>
      </c>
      <c r="BT36" s="31" t="s">
        <v>234</v>
      </c>
      <c r="BU36" s="31" t="s">
        <v>234</v>
      </c>
      <c r="BV36" s="31" t="s">
        <v>234</v>
      </c>
      <c r="BW36" s="31" t="s">
        <v>234</v>
      </c>
      <c r="BX36" s="31" t="s">
        <v>234</v>
      </c>
      <c r="BY36" s="33">
        <v>31.25</v>
      </c>
      <c r="BZ36" s="33">
        <v>30</v>
      </c>
      <c r="CA36" s="33">
        <v>33.333333333333336</v>
      </c>
      <c r="CB36" s="33">
        <v>32.5</v>
      </c>
      <c r="CC36" s="33">
        <v>26.666666666666668</v>
      </c>
      <c r="CD36" s="33">
        <v>30</v>
      </c>
      <c r="CE36" s="30">
        <v>1</v>
      </c>
      <c r="CF36" s="33">
        <v>1</v>
      </c>
      <c r="CG36" s="31" t="s">
        <v>370</v>
      </c>
      <c r="CH36" s="30">
        <v>0</v>
      </c>
      <c r="CI36" s="31" t="s">
        <v>393</v>
      </c>
      <c r="CJ36" s="31" t="s">
        <v>394</v>
      </c>
      <c r="CK36" s="48"/>
      <c r="CL36" s="45">
        <v>44531</v>
      </c>
      <c r="CM36" s="30">
        <v>134</v>
      </c>
      <c r="CN36" s="30"/>
      <c r="CO36" s="30">
        <v>10</v>
      </c>
      <c r="CP36" s="30">
        <v>5</v>
      </c>
      <c r="CQ36" s="30">
        <v>5</v>
      </c>
      <c r="CR36" s="30">
        <v>10</v>
      </c>
      <c r="CS36" s="30">
        <v>10</v>
      </c>
      <c r="CT36" s="30">
        <v>10</v>
      </c>
      <c r="CU36" s="33">
        <v>6.25</v>
      </c>
      <c r="CV36" s="30">
        <v>30</v>
      </c>
      <c r="CW36" s="30">
        <v>25</v>
      </c>
      <c r="CX36" s="30">
        <v>20</v>
      </c>
      <c r="CY36" s="30">
        <v>15</v>
      </c>
      <c r="CZ36" s="30">
        <v>10</v>
      </c>
      <c r="DA36" s="30">
        <v>10</v>
      </c>
      <c r="DB36" s="30">
        <v>25</v>
      </c>
      <c r="DC36" s="30">
        <v>20</v>
      </c>
      <c r="DD36" s="30"/>
      <c r="DE36" s="30"/>
      <c r="DF36" s="30"/>
      <c r="DG36" s="30"/>
      <c r="DH36" s="30"/>
      <c r="DI36" s="30"/>
      <c r="DJ36" s="30"/>
      <c r="DK36" s="33">
        <v>15</v>
      </c>
      <c r="DL36" s="33">
        <v>18</v>
      </c>
      <c r="DM36" s="33">
        <v>25</v>
      </c>
      <c r="DN36" s="33">
        <v>12.5</v>
      </c>
      <c r="DO36" s="33">
        <v>18.333333333333332</v>
      </c>
      <c r="DP36" s="33">
        <v>13.75</v>
      </c>
      <c r="DQ36" s="30">
        <v>6</v>
      </c>
      <c r="DR36" s="33">
        <v>0</v>
      </c>
      <c r="DS36" s="30">
        <v>20</v>
      </c>
      <c r="DT36" s="30">
        <v>100</v>
      </c>
      <c r="DU36" s="30">
        <v>0</v>
      </c>
      <c r="DV36" s="30">
        <v>5</v>
      </c>
      <c r="DW36" s="30">
        <v>0</v>
      </c>
      <c r="DX36" s="30">
        <v>25</v>
      </c>
      <c r="DY36" s="30">
        <v>15</v>
      </c>
      <c r="DZ36" s="30">
        <v>10</v>
      </c>
      <c r="EA36" s="33">
        <v>7.5</v>
      </c>
      <c r="EB36" s="30">
        <v>40</v>
      </c>
      <c r="EC36" s="30">
        <v>40</v>
      </c>
      <c r="ED36" s="30">
        <v>35</v>
      </c>
      <c r="EE36" s="30">
        <v>45</v>
      </c>
      <c r="EF36" s="30">
        <v>35</v>
      </c>
      <c r="EG36" s="30">
        <v>35</v>
      </c>
      <c r="EH36" s="30">
        <v>50</v>
      </c>
      <c r="EI36" s="30">
        <v>35</v>
      </c>
      <c r="EJ36" s="30"/>
      <c r="EK36" s="30"/>
      <c r="EL36" s="30"/>
      <c r="EM36" s="30"/>
      <c r="EN36" s="30"/>
      <c r="EO36" s="30"/>
      <c r="EP36" s="30"/>
      <c r="EQ36" s="33">
        <v>40</v>
      </c>
      <c r="ER36" s="33">
        <v>40</v>
      </c>
      <c r="ES36" s="33">
        <v>38.333333333333336</v>
      </c>
      <c r="ET36" s="33">
        <v>40</v>
      </c>
      <c r="EU36" s="33">
        <v>40</v>
      </c>
      <c r="EV36" s="33">
        <v>37.5</v>
      </c>
      <c r="EW36" s="30">
        <v>6</v>
      </c>
      <c r="EX36" s="33">
        <v>1</v>
      </c>
      <c r="EY36" s="30">
        <v>50</v>
      </c>
      <c r="EZ36" s="30">
        <v>100</v>
      </c>
      <c r="FA36" s="30"/>
      <c r="FB36" s="30"/>
      <c r="FC36" s="48"/>
      <c r="FD36" s="35">
        <v>44531</v>
      </c>
      <c r="FE36" s="30">
        <v>134</v>
      </c>
      <c r="FF36" s="30"/>
      <c r="FG36" s="30">
        <v>10</v>
      </c>
      <c r="FH36" s="30">
        <v>5</v>
      </c>
      <c r="FI36" s="30">
        <v>5</v>
      </c>
      <c r="FJ36" s="30">
        <v>10</v>
      </c>
      <c r="FK36" s="30">
        <v>10</v>
      </c>
      <c r="FL36" s="30">
        <v>10</v>
      </c>
      <c r="FM36" s="33">
        <v>6.25</v>
      </c>
      <c r="FN36" s="30">
        <v>30</v>
      </c>
      <c r="FO36" s="30">
        <v>25</v>
      </c>
      <c r="FP36" s="30">
        <v>20</v>
      </c>
      <c r="FQ36" s="30">
        <v>15</v>
      </c>
      <c r="FR36" s="30">
        <v>10</v>
      </c>
      <c r="FS36" s="30">
        <v>10</v>
      </c>
      <c r="FT36" s="30">
        <v>25</v>
      </c>
      <c r="FU36" s="30">
        <v>20</v>
      </c>
      <c r="FV36" s="31" t="s">
        <v>234</v>
      </c>
      <c r="FW36" s="31" t="s">
        <v>234</v>
      </c>
      <c r="FX36" s="31" t="s">
        <v>234</v>
      </c>
      <c r="FY36" s="31" t="s">
        <v>234</v>
      </c>
      <c r="FZ36" s="31" t="s">
        <v>234</v>
      </c>
      <c r="GA36" s="31" t="s">
        <v>234</v>
      </c>
      <c r="GB36" s="31" t="s">
        <v>234</v>
      </c>
      <c r="GC36" s="33">
        <v>15</v>
      </c>
      <c r="GD36" s="33">
        <v>18</v>
      </c>
      <c r="GE36" s="33">
        <v>25</v>
      </c>
      <c r="GF36" s="33">
        <v>12.5</v>
      </c>
      <c r="GG36" s="33">
        <v>18.333333333333332</v>
      </c>
      <c r="GH36" s="33">
        <v>13.75</v>
      </c>
      <c r="GI36" s="30">
        <v>1</v>
      </c>
      <c r="GJ36" s="33">
        <v>0</v>
      </c>
      <c r="GK36" s="30">
        <v>20</v>
      </c>
      <c r="GL36" s="30">
        <v>100</v>
      </c>
      <c r="GM36" s="30">
        <v>0</v>
      </c>
      <c r="GN36" s="30">
        <v>5</v>
      </c>
      <c r="GO36" s="30">
        <v>0</v>
      </c>
      <c r="GP36" s="30">
        <v>25</v>
      </c>
      <c r="GQ36" s="30">
        <v>15</v>
      </c>
      <c r="GR36" s="30">
        <v>10</v>
      </c>
      <c r="GS36" s="30">
        <v>7.5</v>
      </c>
      <c r="GT36" s="30">
        <v>40</v>
      </c>
      <c r="GU36" s="30">
        <v>40</v>
      </c>
      <c r="GV36" s="30">
        <v>35</v>
      </c>
      <c r="GW36" s="30">
        <v>45</v>
      </c>
      <c r="GX36" s="30">
        <v>35</v>
      </c>
      <c r="GY36" s="30">
        <v>35</v>
      </c>
      <c r="GZ36" s="30">
        <v>50</v>
      </c>
      <c r="HA36" s="30">
        <v>35</v>
      </c>
      <c r="HB36" s="31" t="s">
        <v>234</v>
      </c>
      <c r="HC36" s="31" t="s">
        <v>234</v>
      </c>
      <c r="HD36" s="31" t="s">
        <v>234</v>
      </c>
      <c r="HE36" s="31" t="s">
        <v>234</v>
      </c>
      <c r="HF36" s="31" t="s">
        <v>234</v>
      </c>
      <c r="HG36" s="31" t="s">
        <v>234</v>
      </c>
      <c r="HH36" s="31" t="s">
        <v>234</v>
      </c>
      <c r="HI36" s="30">
        <v>40</v>
      </c>
      <c r="HJ36" s="30">
        <v>40</v>
      </c>
      <c r="HK36" s="30">
        <v>38.333333333333336</v>
      </c>
      <c r="HL36" s="30">
        <v>40</v>
      </c>
      <c r="HM36" s="30">
        <v>40</v>
      </c>
      <c r="HN36" s="30">
        <v>37.5</v>
      </c>
      <c r="HO36" s="30">
        <v>1</v>
      </c>
      <c r="HP36" s="30">
        <v>1</v>
      </c>
      <c r="HQ36" s="30">
        <v>50</v>
      </c>
      <c r="HR36" s="30">
        <v>100</v>
      </c>
      <c r="HS36" s="31" t="s">
        <v>395</v>
      </c>
      <c r="HT36" s="31" t="s">
        <v>396</v>
      </c>
      <c r="HU36" s="30"/>
      <c r="HV36" s="46">
        <v>45139</v>
      </c>
      <c r="HW36" s="30">
        <v>742</v>
      </c>
      <c r="HX36" s="30"/>
      <c r="HY36" s="30">
        <v>10</v>
      </c>
      <c r="HZ36" s="30">
        <v>20</v>
      </c>
      <c r="IA36" s="30">
        <v>5</v>
      </c>
      <c r="IB36" s="30">
        <v>15</v>
      </c>
      <c r="IC36" s="30">
        <v>15</v>
      </c>
      <c r="ID36" s="30">
        <v>5</v>
      </c>
      <c r="IE36" s="30">
        <v>11.25</v>
      </c>
      <c r="IF36" s="30">
        <v>20</v>
      </c>
      <c r="IG36" s="30">
        <v>25</v>
      </c>
      <c r="IH36" s="30">
        <v>30</v>
      </c>
      <c r="II36" s="30">
        <v>30</v>
      </c>
      <c r="IJ36" s="30">
        <v>20</v>
      </c>
      <c r="IK36" s="30">
        <v>15</v>
      </c>
      <c r="IL36" s="30">
        <v>40</v>
      </c>
      <c r="IM36" s="30">
        <v>25</v>
      </c>
      <c r="IN36" s="30"/>
      <c r="IO36" s="30"/>
      <c r="IP36" s="30"/>
      <c r="IQ36" s="30"/>
      <c r="IR36" s="30"/>
      <c r="IS36" s="30"/>
      <c r="IT36" s="30"/>
      <c r="IU36" s="30">
        <v>27.5</v>
      </c>
      <c r="IV36" s="30">
        <v>29</v>
      </c>
      <c r="IW36" s="30">
        <v>25</v>
      </c>
      <c r="IX36" s="30">
        <v>25</v>
      </c>
      <c r="IY36" s="30">
        <v>26.666666666666668</v>
      </c>
      <c r="IZ36" s="30">
        <v>23.75</v>
      </c>
      <c r="JA36" s="30">
        <v>6</v>
      </c>
      <c r="JB36" s="30">
        <v>1</v>
      </c>
      <c r="JC36" s="30">
        <v>25</v>
      </c>
      <c r="JD36" s="30">
        <v>100</v>
      </c>
      <c r="JE36" s="30">
        <v>10</v>
      </c>
      <c r="JF36" s="30">
        <v>20</v>
      </c>
      <c r="JG36" s="30">
        <v>5</v>
      </c>
      <c r="JH36" s="30">
        <v>15</v>
      </c>
      <c r="JI36" s="30">
        <v>15</v>
      </c>
      <c r="JJ36" s="30">
        <v>5</v>
      </c>
      <c r="JK36" s="30">
        <v>11.25</v>
      </c>
      <c r="JL36" s="30">
        <v>25</v>
      </c>
      <c r="JM36" s="30">
        <v>30</v>
      </c>
      <c r="JN36" s="30">
        <v>30</v>
      </c>
      <c r="JO36" s="30">
        <v>30</v>
      </c>
      <c r="JP36" s="30">
        <v>15</v>
      </c>
      <c r="JQ36" s="30">
        <v>15</v>
      </c>
      <c r="JR36" s="30">
        <v>30</v>
      </c>
      <c r="JS36" s="30">
        <v>30</v>
      </c>
      <c r="JT36" s="30"/>
      <c r="JU36" s="30"/>
      <c r="JV36" s="30"/>
      <c r="JW36" s="30"/>
      <c r="JX36" s="30"/>
      <c r="JY36" s="30"/>
      <c r="JZ36" s="30"/>
      <c r="KA36" s="30">
        <v>26.25</v>
      </c>
      <c r="KB36" s="30">
        <v>27</v>
      </c>
      <c r="KC36" s="30">
        <v>28.333333333333332</v>
      </c>
      <c r="KD36" s="30">
        <v>22.5</v>
      </c>
      <c r="KE36" s="30">
        <v>25</v>
      </c>
      <c r="KF36" s="30">
        <v>22.5</v>
      </c>
      <c r="KG36" s="30">
        <v>4</v>
      </c>
      <c r="KH36" s="30">
        <v>1</v>
      </c>
      <c r="KI36" s="1">
        <v>25</v>
      </c>
      <c r="KJ36" s="1">
        <v>100</v>
      </c>
    </row>
    <row r="37" spans="1:299" s="1" customFormat="1" ht="33">
      <c r="A37" s="8" t="s">
        <v>627</v>
      </c>
      <c r="B37" s="1">
        <v>47</v>
      </c>
      <c r="C37" s="20">
        <v>40</v>
      </c>
      <c r="D37" s="1">
        <v>1</v>
      </c>
      <c r="E37" s="1" t="s">
        <v>590</v>
      </c>
      <c r="F37" s="1">
        <v>21118</v>
      </c>
      <c r="G37" s="12" t="s">
        <v>103</v>
      </c>
      <c r="H37" s="12" t="s">
        <v>104</v>
      </c>
      <c r="I37" s="12" t="s">
        <v>22</v>
      </c>
      <c r="J37" s="10">
        <v>44712</v>
      </c>
      <c r="K37" s="30" t="s">
        <v>661</v>
      </c>
      <c r="L37" s="30" t="s">
        <v>691</v>
      </c>
      <c r="M37" s="14" t="s">
        <v>193</v>
      </c>
      <c r="N37" s="14" t="s">
        <v>192</v>
      </c>
      <c r="P37" s="10">
        <v>44711</v>
      </c>
      <c r="R37" s="10">
        <v>44930</v>
      </c>
      <c r="T37" s="32">
        <v>44711</v>
      </c>
      <c r="U37" s="30">
        <v>-1</v>
      </c>
      <c r="V37" s="30"/>
      <c r="W37" s="30">
        <v>40</v>
      </c>
      <c r="X37" s="30">
        <v>45</v>
      </c>
      <c r="Y37" s="30">
        <v>35</v>
      </c>
      <c r="Z37" s="30">
        <v>40</v>
      </c>
      <c r="AA37" s="30">
        <v>45</v>
      </c>
      <c r="AB37" s="30">
        <v>45</v>
      </c>
      <c r="AC37" s="33">
        <v>38.75</v>
      </c>
      <c r="AD37" s="30">
        <v>55</v>
      </c>
      <c r="AE37" s="30">
        <v>60</v>
      </c>
      <c r="AF37" s="30">
        <v>50</v>
      </c>
      <c r="AG37" s="30">
        <v>40</v>
      </c>
      <c r="AH37" s="30">
        <v>40</v>
      </c>
      <c r="AI37" s="30">
        <v>45</v>
      </c>
      <c r="AJ37" s="30">
        <v>70</v>
      </c>
      <c r="AK37" s="30">
        <v>100</v>
      </c>
      <c r="AL37" s="31" t="s">
        <v>234</v>
      </c>
      <c r="AM37" s="31" t="s">
        <v>234</v>
      </c>
      <c r="AN37" s="31" t="s">
        <v>234</v>
      </c>
      <c r="AO37" s="31" t="s">
        <v>234</v>
      </c>
      <c r="AP37" s="31" t="s">
        <v>234</v>
      </c>
      <c r="AQ37" s="31" t="s">
        <v>234</v>
      </c>
      <c r="AR37" s="31" t="s">
        <v>234</v>
      </c>
      <c r="AS37" s="33">
        <v>42.5</v>
      </c>
      <c r="AT37" s="33">
        <v>60</v>
      </c>
      <c r="AU37" s="33">
        <v>55</v>
      </c>
      <c r="AV37" s="33">
        <v>40</v>
      </c>
      <c r="AW37" s="33">
        <v>71.666666666666671</v>
      </c>
      <c r="AX37" s="33">
        <v>43.75</v>
      </c>
      <c r="AY37" s="34">
        <v>3</v>
      </c>
      <c r="AZ37" s="33">
        <v>2</v>
      </c>
      <c r="BA37" s="30">
        <v>50</v>
      </c>
      <c r="BB37" s="30">
        <v>95</v>
      </c>
      <c r="BC37" s="30">
        <v>35</v>
      </c>
      <c r="BD37" s="30">
        <v>45</v>
      </c>
      <c r="BE37" s="30">
        <v>35</v>
      </c>
      <c r="BF37" s="30">
        <v>50</v>
      </c>
      <c r="BG37" s="30">
        <v>45</v>
      </c>
      <c r="BH37" s="30">
        <v>45</v>
      </c>
      <c r="BI37" s="33">
        <v>41.25</v>
      </c>
      <c r="BJ37" s="30">
        <v>75</v>
      </c>
      <c r="BK37" s="30">
        <v>75</v>
      </c>
      <c r="BL37" s="30">
        <v>75</v>
      </c>
      <c r="BM37" s="30">
        <v>60</v>
      </c>
      <c r="BN37" s="30">
        <v>50</v>
      </c>
      <c r="BO37" s="30">
        <v>75</v>
      </c>
      <c r="BP37" s="30">
        <v>70</v>
      </c>
      <c r="BQ37" s="30">
        <v>95</v>
      </c>
      <c r="BR37" s="31" t="s">
        <v>234</v>
      </c>
      <c r="BS37" s="31" t="s">
        <v>234</v>
      </c>
      <c r="BT37" s="31" t="s">
        <v>234</v>
      </c>
      <c r="BU37" s="31" t="s">
        <v>234</v>
      </c>
      <c r="BV37" s="31" t="s">
        <v>234</v>
      </c>
      <c r="BW37" s="31" t="s">
        <v>234</v>
      </c>
      <c r="BX37" s="31" t="s">
        <v>234</v>
      </c>
      <c r="BY37" s="33">
        <v>61.25</v>
      </c>
      <c r="BZ37" s="33">
        <v>70</v>
      </c>
      <c r="CA37" s="33">
        <v>75</v>
      </c>
      <c r="CB37" s="33">
        <v>55</v>
      </c>
      <c r="CC37" s="33">
        <v>80</v>
      </c>
      <c r="CD37" s="33">
        <v>65</v>
      </c>
      <c r="CE37" s="31" t="s">
        <v>235</v>
      </c>
      <c r="CF37" s="33">
        <v>3</v>
      </c>
      <c r="CG37" s="30">
        <v>55</v>
      </c>
      <c r="CH37" s="30">
        <v>100</v>
      </c>
      <c r="CI37" s="31" t="s">
        <v>397</v>
      </c>
      <c r="CJ37" s="30"/>
      <c r="CK37" s="57" t="s">
        <v>398</v>
      </c>
      <c r="CL37" s="32">
        <v>44818</v>
      </c>
      <c r="CM37" s="30">
        <v>106</v>
      </c>
      <c r="CN37" s="30"/>
      <c r="CO37" s="30">
        <v>40</v>
      </c>
      <c r="CP37" s="30">
        <v>45</v>
      </c>
      <c r="CQ37" s="30">
        <v>40</v>
      </c>
      <c r="CR37" s="30">
        <v>45</v>
      </c>
      <c r="CS37" s="30">
        <v>60</v>
      </c>
      <c r="CT37" s="30">
        <v>50</v>
      </c>
      <c r="CU37" s="33">
        <v>42.5</v>
      </c>
      <c r="CV37" s="30">
        <v>55</v>
      </c>
      <c r="CW37" s="30">
        <v>65</v>
      </c>
      <c r="CX37" s="30">
        <v>70</v>
      </c>
      <c r="CY37" s="30">
        <v>45</v>
      </c>
      <c r="CZ37" s="30">
        <v>45</v>
      </c>
      <c r="DA37" s="30">
        <v>60</v>
      </c>
      <c r="DB37" s="30">
        <v>70</v>
      </c>
      <c r="DC37" s="30">
        <v>85</v>
      </c>
      <c r="DD37" s="30"/>
      <c r="DE37" s="30"/>
      <c r="DF37" s="30"/>
      <c r="DG37" s="30"/>
      <c r="DH37" s="30"/>
      <c r="DI37" s="30"/>
      <c r="DJ37" s="30"/>
      <c r="DK37" s="33">
        <v>51.25</v>
      </c>
      <c r="DL37" s="33">
        <v>63</v>
      </c>
      <c r="DM37" s="33">
        <v>63.333333333333336</v>
      </c>
      <c r="DN37" s="33">
        <v>45</v>
      </c>
      <c r="DO37" s="33">
        <v>71.666666666666671</v>
      </c>
      <c r="DP37" s="33">
        <v>55</v>
      </c>
      <c r="DQ37" s="30">
        <v>3</v>
      </c>
      <c r="DR37" s="33">
        <v>2</v>
      </c>
      <c r="DS37" s="30">
        <v>50</v>
      </c>
      <c r="DT37" s="30">
        <v>100</v>
      </c>
      <c r="DU37" s="30">
        <v>40</v>
      </c>
      <c r="DV37" s="30">
        <v>55</v>
      </c>
      <c r="DW37" s="30">
        <v>45</v>
      </c>
      <c r="DX37" s="30">
        <v>55</v>
      </c>
      <c r="DY37" s="30">
        <v>60</v>
      </c>
      <c r="DZ37" s="30">
        <v>60</v>
      </c>
      <c r="EA37" s="33">
        <v>50</v>
      </c>
      <c r="EB37" s="30">
        <v>65</v>
      </c>
      <c r="EC37" s="30">
        <v>70</v>
      </c>
      <c r="ED37" s="30">
        <v>80</v>
      </c>
      <c r="EE37" s="30">
        <v>60</v>
      </c>
      <c r="EF37" s="30">
        <v>55</v>
      </c>
      <c r="EG37" s="30">
        <v>80</v>
      </c>
      <c r="EH37" s="30">
        <v>75</v>
      </c>
      <c r="EI37" s="30">
        <v>100</v>
      </c>
      <c r="EJ37" s="30" t="s">
        <v>277</v>
      </c>
      <c r="EK37" s="30" t="s">
        <v>277</v>
      </c>
      <c r="EL37" s="30" t="s">
        <v>277</v>
      </c>
      <c r="EM37" s="30" t="s">
        <v>277</v>
      </c>
      <c r="EN37" s="30" t="s">
        <v>277</v>
      </c>
      <c r="EO37" s="30" t="s">
        <v>277</v>
      </c>
      <c r="EP37" s="30" t="s">
        <v>277</v>
      </c>
      <c r="EQ37" s="33">
        <v>63.75</v>
      </c>
      <c r="ER37" s="33">
        <v>74</v>
      </c>
      <c r="ES37" s="33">
        <v>71.666666666666671</v>
      </c>
      <c r="ET37" s="33">
        <v>57.5</v>
      </c>
      <c r="EU37" s="33">
        <v>85</v>
      </c>
      <c r="EV37" s="33">
        <v>68.75</v>
      </c>
      <c r="EW37" s="30">
        <v>3</v>
      </c>
      <c r="EX37" s="33">
        <v>3</v>
      </c>
      <c r="EY37" s="30">
        <v>60</v>
      </c>
      <c r="EZ37" s="30">
        <v>100</v>
      </c>
      <c r="FA37" s="30" t="s">
        <v>399</v>
      </c>
      <c r="FB37" s="30" t="s">
        <v>400</v>
      </c>
      <c r="FC37" s="56"/>
      <c r="FD37" s="32">
        <v>44902</v>
      </c>
      <c r="FE37" s="30">
        <v>190</v>
      </c>
      <c r="FF37" s="30"/>
      <c r="FG37" s="30">
        <v>5</v>
      </c>
      <c r="FH37" s="30">
        <v>20</v>
      </c>
      <c r="FI37" s="30">
        <v>10</v>
      </c>
      <c r="FJ37" s="30">
        <v>20</v>
      </c>
      <c r="FK37" s="30">
        <v>25</v>
      </c>
      <c r="FL37" s="30">
        <v>40</v>
      </c>
      <c r="FM37" s="33">
        <v>15</v>
      </c>
      <c r="FN37" s="30">
        <v>60</v>
      </c>
      <c r="FO37" s="30">
        <v>65</v>
      </c>
      <c r="FP37" s="30">
        <v>60</v>
      </c>
      <c r="FQ37" s="30">
        <v>35</v>
      </c>
      <c r="FR37" s="30">
        <v>35</v>
      </c>
      <c r="FS37" s="30">
        <v>50</v>
      </c>
      <c r="FT37" s="30">
        <v>60</v>
      </c>
      <c r="FU37" s="30">
        <v>85</v>
      </c>
      <c r="FV37" s="30"/>
      <c r="FW37" s="30"/>
      <c r="FX37" s="30"/>
      <c r="FY37" s="30"/>
      <c r="FZ37" s="30"/>
      <c r="GA37" s="30"/>
      <c r="GB37" s="30"/>
      <c r="GC37" s="33">
        <v>41.25</v>
      </c>
      <c r="GD37" s="33">
        <v>55</v>
      </c>
      <c r="GE37" s="33">
        <v>61.666666666666664</v>
      </c>
      <c r="GF37" s="33">
        <v>35</v>
      </c>
      <c r="GG37" s="33">
        <v>65</v>
      </c>
      <c r="GH37" s="33">
        <v>45</v>
      </c>
      <c r="GI37" s="30" t="s">
        <v>235</v>
      </c>
      <c r="GJ37" s="33">
        <v>2</v>
      </c>
      <c r="GK37" s="30">
        <v>30</v>
      </c>
      <c r="GL37" s="30">
        <v>85</v>
      </c>
      <c r="GM37" s="30">
        <v>20</v>
      </c>
      <c r="GN37" s="30">
        <v>35</v>
      </c>
      <c r="GO37" s="30">
        <v>20</v>
      </c>
      <c r="GP37" s="30">
        <v>25</v>
      </c>
      <c r="GQ37" s="30">
        <v>30</v>
      </c>
      <c r="GR37" s="30">
        <v>40</v>
      </c>
      <c r="GS37" s="30">
        <v>25</v>
      </c>
      <c r="GT37" s="30">
        <v>80</v>
      </c>
      <c r="GU37" s="30">
        <v>85</v>
      </c>
      <c r="GV37" s="30">
        <v>75</v>
      </c>
      <c r="GW37" s="30">
        <v>65</v>
      </c>
      <c r="GX37" s="30">
        <v>55</v>
      </c>
      <c r="GY37" s="30">
        <v>60</v>
      </c>
      <c r="GZ37" s="30">
        <v>60</v>
      </c>
      <c r="HA37" s="30">
        <v>95</v>
      </c>
      <c r="HB37" s="30"/>
      <c r="HC37" s="30"/>
      <c r="HD37" s="30"/>
      <c r="HE37" s="30"/>
      <c r="HF37" s="30"/>
      <c r="HG37" s="30"/>
      <c r="HH37" s="30"/>
      <c r="HI37" s="30">
        <v>65</v>
      </c>
      <c r="HJ37" s="30">
        <v>70</v>
      </c>
      <c r="HK37" s="30">
        <v>80</v>
      </c>
      <c r="HL37" s="30">
        <v>60</v>
      </c>
      <c r="HM37" s="30">
        <v>71.666666666666671</v>
      </c>
      <c r="HN37" s="30">
        <v>63.75</v>
      </c>
      <c r="HO37" s="30" t="s">
        <v>235</v>
      </c>
      <c r="HP37" s="30">
        <v>3</v>
      </c>
      <c r="HQ37" s="30">
        <v>60</v>
      </c>
      <c r="HR37" s="30">
        <v>90</v>
      </c>
      <c r="HS37" s="30"/>
      <c r="HT37" s="30"/>
      <c r="HU37" s="56" t="s">
        <v>401</v>
      </c>
      <c r="HV37" s="32">
        <v>45048</v>
      </c>
      <c r="HW37" s="30">
        <v>336</v>
      </c>
      <c r="HX37" s="30"/>
      <c r="HY37" s="30">
        <v>25</v>
      </c>
      <c r="HZ37" s="30">
        <v>40</v>
      </c>
      <c r="IA37" s="30">
        <v>20</v>
      </c>
      <c r="IB37" s="30">
        <v>35</v>
      </c>
      <c r="IC37" s="30">
        <v>40</v>
      </c>
      <c r="ID37" s="30">
        <v>50</v>
      </c>
      <c r="IE37" s="30">
        <v>28.75</v>
      </c>
      <c r="IF37" s="30">
        <v>55</v>
      </c>
      <c r="IG37" s="30">
        <v>55</v>
      </c>
      <c r="IH37" s="30">
        <v>50</v>
      </c>
      <c r="II37" s="30">
        <v>45</v>
      </c>
      <c r="IJ37" s="30">
        <v>35</v>
      </c>
      <c r="IK37" s="30">
        <v>60</v>
      </c>
      <c r="IL37" s="30">
        <v>80</v>
      </c>
      <c r="IM37" s="30">
        <v>95</v>
      </c>
      <c r="IN37" s="30"/>
      <c r="IO37" s="30"/>
      <c r="IP37" s="30"/>
      <c r="IQ37" s="30"/>
      <c r="IR37" s="30"/>
      <c r="IS37" s="30"/>
      <c r="IT37" s="30"/>
      <c r="IU37" s="30">
        <v>43.75</v>
      </c>
      <c r="IV37" s="30">
        <v>61</v>
      </c>
      <c r="IW37" s="30">
        <v>53.333333333333336</v>
      </c>
      <c r="IX37" s="30">
        <v>40</v>
      </c>
      <c r="IY37" s="30">
        <v>78.333333333333329</v>
      </c>
      <c r="IZ37" s="30">
        <v>47.5</v>
      </c>
      <c r="JA37" s="30" t="s">
        <v>235</v>
      </c>
      <c r="JB37" s="30">
        <v>2</v>
      </c>
      <c r="JC37" s="30">
        <v>35</v>
      </c>
      <c r="JD37" s="30">
        <v>92</v>
      </c>
      <c r="JE37" s="30">
        <v>20</v>
      </c>
      <c r="JF37" s="30">
        <v>40</v>
      </c>
      <c r="JG37" s="30">
        <v>15</v>
      </c>
      <c r="JH37" s="30">
        <v>40</v>
      </c>
      <c r="JI37" s="30">
        <v>35</v>
      </c>
      <c r="JJ37" s="30">
        <v>40</v>
      </c>
      <c r="JK37" s="30">
        <v>27.5</v>
      </c>
      <c r="JL37" s="30">
        <v>75</v>
      </c>
      <c r="JM37" s="30">
        <v>80</v>
      </c>
      <c r="JN37" s="30">
        <v>80</v>
      </c>
      <c r="JO37" s="30">
        <v>50</v>
      </c>
      <c r="JP37" s="30">
        <v>60</v>
      </c>
      <c r="JQ37" s="30">
        <v>75</v>
      </c>
      <c r="JR37" s="30">
        <v>90</v>
      </c>
      <c r="JS37" s="42">
        <v>100</v>
      </c>
      <c r="JT37" s="30" t="s">
        <v>277</v>
      </c>
      <c r="JU37" s="30" t="s">
        <v>277</v>
      </c>
      <c r="JV37" s="30" t="s">
        <v>277</v>
      </c>
      <c r="JW37" s="30" t="s">
        <v>277</v>
      </c>
      <c r="JX37" s="30" t="s">
        <v>277</v>
      </c>
      <c r="JY37" s="30" t="s">
        <v>277</v>
      </c>
      <c r="JZ37" s="30" t="s">
        <v>277</v>
      </c>
      <c r="KA37" s="30">
        <v>60</v>
      </c>
      <c r="KB37" s="30">
        <v>76</v>
      </c>
      <c r="KC37" s="30">
        <v>78.333333333333329</v>
      </c>
      <c r="KD37" s="30">
        <v>55</v>
      </c>
      <c r="KE37" s="30">
        <v>88.333333333333329</v>
      </c>
      <c r="KF37" s="30">
        <v>66.25</v>
      </c>
      <c r="KG37" s="30" t="s">
        <v>235</v>
      </c>
      <c r="KH37" s="30">
        <v>3</v>
      </c>
      <c r="KI37" s="30">
        <v>50</v>
      </c>
      <c r="KJ37" s="30">
        <v>88</v>
      </c>
      <c r="KK37" s="30"/>
      <c r="KL37" s="30"/>
      <c r="KM37" s="30" t="s">
        <v>402</v>
      </c>
    </row>
    <row r="38" spans="1:299" s="1" customFormat="1">
      <c r="A38" s="8" t="s">
        <v>628</v>
      </c>
      <c r="B38" s="1">
        <v>53</v>
      </c>
      <c r="C38" s="1">
        <v>50</v>
      </c>
      <c r="D38" s="1">
        <v>2</v>
      </c>
      <c r="E38" s="1" t="s">
        <v>592</v>
      </c>
      <c r="F38" s="73" t="s">
        <v>579</v>
      </c>
      <c r="G38" s="10">
        <v>43872</v>
      </c>
      <c r="H38" s="10">
        <v>43874</v>
      </c>
      <c r="I38" s="12" t="s">
        <v>22</v>
      </c>
      <c r="J38" s="10">
        <v>43900</v>
      </c>
      <c r="K38" s="33" t="s">
        <v>678</v>
      </c>
      <c r="L38" s="33" t="s">
        <v>692</v>
      </c>
      <c r="N38" s="1" t="s">
        <v>186</v>
      </c>
      <c r="P38" s="1" t="s">
        <v>593</v>
      </c>
      <c r="T38" s="45">
        <v>43880</v>
      </c>
      <c r="U38" s="30">
        <v>-20</v>
      </c>
      <c r="V38" s="33" t="s">
        <v>578</v>
      </c>
      <c r="W38" s="33">
        <v>15</v>
      </c>
      <c r="X38" s="33">
        <v>20</v>
      </c>
      <c r="Y38" s="33">
        <v>20</v>
      </c>
      <c r="Z38" s="33">
        <v>25</v>
      </c>
      <c r="AA38" s="33">
        <v>15</v>
      </c>
      <c r="AB38" s="33">
        <v>10</v>
      </c>
      <c r="AC38" s="33">
        <v>21.25</v>
      </c>
      <c r="AD38" s="30">
        <v>10</v>
      </c>
      <c r="AE38" s="30">
        <v>15</v>
      </c>
      <c r="AF38" s="30">
        <v>20</v>
      </c>
      <c r="AG38" s="30">
        <v>20</v>
      </c>
      <c r="AH38" s="30">
        <v>25</v>
      </c>
      <c r="AI38" s="30">
        <v>15</v>
      </c>
      <c r="AJ38" s="30">
        <v>10</v>
      </c>
      <c r="AK38" s="30">
        <v>5</v>
      </c>
      <c r="AL38" s="31" t="s">
        <v>234</v>
      </c>
      <c r="AM38" s="31" t="s">
        <v>234</v>
      </c>
      <c r="AN38" s="31" t="s">
        <v>234</v>
      </c>
      <c r="AO38" s="31" t="s">
        <v>234</v>
      </c>
      <c r="AP38" s="31" t="s">
        <v>234</v>
      </c>
      <c r="AQ38" s="31" t="s">
        <v>234</v>
      </c>
      <c r="AR38" s="31" t="s">
        <v>234</v>
      </c>
      <c r="AS38" s="33">
        <v>21.25</v>
      </c>
      <c r="AT38" s="33">
        <v>16</v>
      </c>
      <c r="AU38" s="33">
        <v>15</v>
      </c>
      <c r="AV38" s="33">
        <v>22.5</v>
      </c>
      <c r="AW38" s="33">
        <v>10</v>
      </c>
      <c r="AX38" s="33">
        <v>20</v>
      </c>
      <c r="AY38" s="34">
        <v>6</v>
      </c>
      <c r="AZ38" s="33">
        <v>0</v>
      </c>
      <c r="BA38" s="33">
        <v>25</v>
      </c>
      <c r="BB38" s="33">
        <v>100</v>
      </c>
      <c r="BC38" s="33">
        <v>35</v>
      </c>
      <c r="BD38" s="33">
        <v>45</v>
      </c>
      <c r="BE38" s="33">
        <v>40</v>
      </c>
      <c r="BF38" s="33">
        <v>45</v>
      </c>
      <c r="BG38" s="33">
        <v>35</v>
      </c>
      <c r="BH38" s="33">
        <v>35</v>
      </c>
      <c r="BI38" s="33">
        <v>42.5</v>
      </c>
      <c r="BJ38" s="30">
        <v>80</v>
      </c>
      <c r="BK38" s="30">
        <v>85</v>
      </c>
      <c r="BL38" s="30">
        <v>85</v>
      </c>
      <c r="BM38" s="30">
        <v>70</v>
      </c>
      <c r="BN38" s="30">
        <v>55</v>
      </c>
      <c r="BO38" s="30">
        <v>50</v>
      </c>
      <c r="BP38" s="30">
        <v>60</v>
      </c>
      <c r="BQ38" s="30">
        <v>60</v>
      </c>
      <c r="BR38" s="31" t="s">
        <v>234</v>
      </c>
      <c r="BS38" s="31" t="s">
        <v>234</v>
      </c>
      <c r="BT38" s="31" t="s">
        <v>234</v>
      </c>
      <c r="BU38" s="31" t="s">
        <v>234</v>
      </c>
      <c r="BV38" s="31" t="s">
        <v>234</v>
      </c>
      <c r="BW38" s="31" t="s">
        <v>234</v>
      </c>
      <c r="BX38" s="31" t="s">
        <v>234</v>
      </c>
      <c r="BY38" s="33">
        <v>70</v>
      </c>
      <c r="BZ38" s="33">
        <v>66</v>
      </c>
      <c r="CA38" s="33">
        <v>83.333333333333329</v>
      </c>
      <c r="CB38" s="33">
        <v>62.5</v>
      </c>
      <c r="CC38" s="33">
        <v>56.666666666666664</v>
      </c>
      <c r="CD38" s="33">
        <v>65</v>
      </c>
      <c r="CE38" s="33">
        <v>6</v>
      </c>
      <c r="CF38" s="33">
        <v>3</v>
      </c>
      <c r="CG38" s="33">
        <v>65</v>
      </c>
      <c r="CH38" s="33">
        <v>100</v>
      </c>
      <c r="CI38" s="31" t="s">
        <v>403</v>
      </c>
      <c r="CJ38" s="31" t="s">
        <v>404</v>
      </c>
      <c r="CK38" s="65"/>
      <c r="CL38" s="45"/>
      <c r="CM38" s="30">
        <v>-43900</v>
      </c>
      <c r="CN38" s="33"/>
      <c r="CO38" s="33"/>
      <c r="CP38" s="33"/>
      <c r="CQ38" s="33"/>
      <c r="CR38" s="33"/>
      <c r="CS38" s="33"/>
      <c r="CT38" s="33"/>
      <c r="CU38" s="33">
        <v>0</v>
      </c>
      <c r="CV38" s="33"/>
      <c r="CW38" s="33"/>
      <c r="CX38" s="33"/>
      <c r="CY38" s="33"/>
      <c r="CZ38" s="33"/>
      <c r="DA38" s="33"/>
      <c r="DB38" s="33"/>
      <c r="DC38" s="33"/>
      <c r="DD38" s="31" t="s">
        <v>234</v>
      </c>
      <c r="DE38" s="31" t="s">
        <v>234</v>
      </c>
      <c r="DF38" s="31" t="s">
        <v>234</v>
      </c>
      <c r="DG38" s="31" t="s">
        <v>234</v>
      </c>
      <c r="DH38" s="31" t="s">
        <v>234</v>
      </c>
      <c r="DI38" s="31" t="s">
        <v>234</v>
      </c>
      <c r="DJ38" s="31" t="s">
        <v>234</v>
      </c>
      <c r="DK38" s="33">
        <v>0</v>
      </c>
      <c r="DL38" s="33" t="e">
        <v>#DIV/0!</v>
      </c>
      <c r="DM38" s="33" t="e">
        <v>#DIV/0!</v>
      </c>
      <c r="DN38" s="33" t="e">
        <v>#DIV/0!</v>
      </c>
      <c r="DO38" s="33" t="e">
        <v>#DIV/0!</v>
      </c>
      <c r="DP38" s="33" t="e">
        <v>#DIV/0!</v>
      </c>
      <c r="DQ38" s="33" t="e">
        <v>#DIV/0!</v>
      </c>
      <c r="DR38" s="33" t="e">
        <v>#DIV/0!</v>
      </c>
      <c r="DS38" s="33"/>
      <c r="DT38" s="33"/>
      <c r="DU38" s="33"/>
      <c r="DV38" s="33"/>
      <c r="DW38" s="33"/>
      <c r="DX38" s="33"/>
      <c r="DY38" s="33"/>
      <c r="DZ38" s="33"/>
      <c r="EA38" s="33">
        <v>0</v>
      </c>
      <c r="EB38" s="33"/>
      <c r="EC38" s="33"/>
      <c r="ED38" s="33"/>
      <c r="EE38" s="33"/>
      <c r="EF38" s="33"/>
      <c r="EG38" s="33"/>
      <c r="EH38" s="33"/>
      <c r="EI38" s="33"/>
      <c r="EJ38" s="31" t="s">
        <v>234</v>
      </c>
      <c r="EK38" s="31" t="s">
        <v>234</v>
      </c>
      <c r="EL38" s="31" t="s">
        <v>234</v>
      </c>
      <c r="EM38" s="31" t="s">
        <v>234</v>
      </c>
      <c r="EN38" s="31" t="s">
        <v>234</v>
      </c>
      <c r="EO38" s="31" t="s">
        <v>234</v>
      </c>
      <c r="EP38" s="31" t="s">
        <v>234</v>
      </c>
      <c r="EQ38" s="33">
        <v>0</v>
      </c>
      <c r="ER38" s="33" t="e">
        <v>#DIV/0!</v>
      </c>
      <c r="ES38" s="33" t="e">
        <v>#DIV/0!</v>
      </c>
      <c r="ET38" s="33" t="e">
        <v>#DIV/0!</v>
      </c>
      <c r="EU38" s="33" t="e">
        <v>#DIV/0!</v>
      </c>
      <c r="EV38" s="33" t="e">
        <v>#DIV/0!</v>
      </c>
      <c r="EW38" s="33" t="e">
        <v>#DIV/0!</v>
      </c>
      <c r="EX38" s="33" t="e">
        <v>#DIV/0!</v>
      </c>
      <c r="EY38" s="33"/>
      <c r="EZ38" s="33"/>
      <c r="FA38" s="33"/>
      <c r="FB38" s="33"/>
      <c r="FC38" s="65"/>
      <c r="FD38" s="46"/>
      <c r="FE38" s="30">
        <v>-43900</v>
      </c>
      <c r="FF38" s="33"/>
      <c r="FG38" s="33"/>
      <c r="FH38" s="33"/>
      <c r="FI38" s="33"/>
      <c r="FJ38" s="33"/>
      <c r="FK38" s="33"/>
      <c r="FL38" s="33"/>
      <c r="FM38" s="33">
        <v>0</v>
      </c>
      <c r="FN38" s="33"/>
      <c r="FO38" s="33"/>
      <c r="FP38" s="33"/>
      <c r="FQ38" s="33"/>
      <c r="FR38" s="33"/>
      <c r="FS38" s="33"/>
      <c r="FT38" s="33"/>
      <c r="FU38" s="33"/>
      <c r="FV38" s="31" t="s">
        <v>234</v>
      </c>
      <c r="FW38" s="31" t="s">
        <v>234</v>
      </c>
      <c r="FX38" s="31" t="s">
        <v>234</v>
      </c>
      <c r="FY38" s="31" t="s">
        <v>234</v>
      </c>
      <c r="FZ38" s="31" t="s">
        <v>234</v>
      </c>
      <c r="GA38" s="31" t="s">
        <v>234</v>
      </c>
      <c r="GB38" s="31" t="s">
        <v>234</v>
      </c>
      <c r="GC38" s="33">
        <v>0</v>
      </c>
      <c r="GD38" s="33" t="e">
        <v>#DIV/0!</v>
      </c>
      <c r="GE38" s="33" t="e">
        <v>#DIV/0!</v>
      </c>
      <c r="GF38" s="33" t="e">
        <v>#DIV/0!</v>
      </c>
      <c r="GG38" s="33" t="e">
        <v>#DIV/0!</v>
      </c>
      <c r="GH38" s="33" t="e">
        <v>#DIV/0!</v>
      </c>
      <c r="GI38" s="33" t="e">
        <v>#DIV/0!</v>
      </c>
      <c r="GJ38" s="33" t="e">
        <v>#DIV/0!</v>
      </c>
      <c r="GK38" s="33"/>
      <c r="GL38" s="33"/>
      <c r="GM38" s="33"/>
      <c r="GN38" s="33"/>
      <c r="GO38" s="33"/>
      <c r="GP38" s="33"/>
      <c r="GQ38" s="33"/>
      <c r="GR38" s="33"/>
      <c r="GS38" s="30">
        <v>0</v>
      </c>
      <c r="GT38" s="33"/>
      <c r="GU38" s="33"/>
      <c r="GV38" s="33"/>
      <c r="GW38" s="33"/>
      <c r="GX38" s="33"/>
      <c r="GY38" s="33"/>
      <c r="GZ38" s="33"/>
      <c r="HA38" s="33"/>
      <c r="HB38" s="31" t="s">
        <v>234</v>
      </c>
      <c r="HC38" s="31" t="s">
        <v>234</v>
      </c>
      <c r="HD38" s="31" t="s">
        <v>234</v>
      </c>
      <c r="HE38" s="31" t="s">
        <v>234</v>
      </c>
      <c r="HF38" s="31" t="s">
        <v>234</v>
      </c>
      <c r="HG38" s="31" t="s">
        <v>234</v>
      </c>
      <c r="HH38" s="31" t="s">
        <v>234</v>
      </c>
      <c r="HI38" s="30">
        <v>0</v>
      </c>
      <c r="HJ38" s="30" t="e">
        <v>#DIV/0!</v>
      </c>
      <c r="HK38" s="30" t="e">
        <v>#DIV/0!</v>
      </c>
      <c r="HL38" s="30" t="e">
        <v>#DIV/0!</v>
      </c>
      <c r="HM38" s="30" t="e">
        <v>#DIV/0!</v>
      </c>
      <c r="HN38" s="30" t="e">
        <v>#DIV/0!</v>
      </c>
      <c r="HO38" s="33" t="e">
        <v>#DIV/0!</v>
      </c>
      <c r="HP38" s="30" t="e">
        <v>#DIV/0!</v>
      </c>
      <c r="HQ38" s="33"/>
      <c r="HR38" s="33"/>
      <c r="HS38" s="33"/>
      <c r="HT38" s="33"/>
      <c r="HU38" s="65"/>
      <c r="HV38" s="45">
        <v>44265</v>
      </c>
      <c r="HW38" s="30">
        <v>365</v>
      </c>
      <c r="HX38" s="33"/>
      <c r="HY38" s="33">
        <v>15</v>
      </c>
      <c r="HZ38" s="33">
        <v>25</v>
      </c>
      <c r="IA38" s="33">
        <v>20</v>
      </c>
      <c r="IB38" s="33">
        <v>25</v>
      </c>
      <c r="IC38" s="33">
        <v>15</v>
      </c>
      <c r="ID38" s="33">
        <v>10</v>
      </c>
      <c r="IE38" s="30">
        <v>22.5</v>
      </c>
      <c r="IF38" s="30">
        <v>10</v>
      </c>
      <c r="IG38" s="30">
        <v>15</v>
      </c>
      <c r="IH38" s="30">
        <v>25</v>
      </c>
      <c r="II38" s="30">
        <v>20</v>
      </c>
      <c r="IJ38" s="30">
        <v>25</v>
      </c>
      <c r="IK38" s="30">
        <v>15</v>
      </c>
      <c r="IL38" s="30">
        <v>10</v>
      </c>
      <c r="IM38" s="30">
        <v>10</v>
      </c>
      <c r="IN38" s="31" t="s">
        <v>234</v>
      </c>
      <c r="IO38" s="31" t="s">
        <v>234</v>
      </c>
      <c r="IP38" s="31" t="s">
        <v>234</v>
      </c>
      <c r="IQ38" s="31" t="s">
        <v>234</v>
      </c>
      <c r="IR38" s="31" t="s">
        <v>234</v>
      </c>
      <c r="IS38" s="31" t="s">
        <v>234</v>
      </c>
      <c r="IT38" s="31" t="s">
        <v>234</v>
      </c>
      <c r="IU38" s="30">
        <v>22.5</v>
      </c>
      <c r="IV38" s="30">
        <v>18</v>
      </c>
      <c r="IW38" s="30">
        <v>16.666666666666668</v>
      </c>
      <c r="IX38" s="30">
        <v>22.5</v>
      </c>
      <c r="IY38" s="30">
        <v>11.666666666666666</v>
      </c>
      <c r="IZ38" s="30">
        <v>21.25</v>
      </c>
      <c r="JA38" s="33">
        <v>6</v>
      </c>
      <c r="JB38" s="30">
        <v>1</v>
      </c>
      <c r="JC38" s="33">
        <v>25</v>
      </c>
      <c r="JD38" s="33">
        <v>100</v>
      </c>
      <c r="JE38" s="33">
        <v>40</v>
      </c>
      <c r="JF38" s="33">
        <v>55</v>
      </c>
      <c r="JG38" s="33">
        <v>35</v>
      </c>
      <c r="JH38" s="33">
        <v>45</v>
      </c>
      <c r="JI38" s="33">
        <v>40</v>
      </c>
      <c r="JJ38" s="33">
        <v>35</v>
      </c>
      <c r="JK38" s="30">
        <v>42.5</v>
      </c>
      <c r="JL38" s="30">
        <v>85</v>
      </c>
      <c r="JM38" s="30">
        <v>95</v>
      </c>
      <c r="JN38" s="30">
        <v>80</v>
      </c>
      <c r="JO38" s="30">
        <v>75</v>
      </c>
      <c r="JP38" s="30">
        <v>60</v>
      </c>
      <c r="JQ38" s="30">
        <v>70</v>
      </c>
      <c r="JR38" s="30">
        <v>75</v>
      </c>
      <c r="JS38" s="30">
        <v>100</v>
      </c>
      <c r="JT38" s="31" t="s">
        <v>234</v>
      </c>
      <c r="JU38" s="31" t="s">
        <v>234</v>
      </c>
      <c r="JV38" s="31" t="s">
        <v>234</v>
      </c>
      <c r="JW38" s="31" t="s">
        <v>234</v>
      </c>
      <c r="JX38" s="31" t="s">
        <v>234</v>
      </c>
      <c r="JY38" s="31" t="s">
        <v>234</v>
      </c>
      <c r="JZ38" s="31" t="s">
        <v>234</v>
      </c>
      <c r="KA38" s="30">
        <v>72.5</v>
      </c>
      <c r="KB38" s="30">
        <v>78</v>
      </c>
      <c r="KC38" s="30">
        <v>86.666666666666671</v>
      </c>
      <c r="KD38" s="30">
        <v>67.5</v>
      </c>
      <c r="KE38" s="30">
        <v>81.666666666666671</v>
      </c>
      <c r="KF38" s="30">
        <v>71.25</v>
      </c>
      <c r="KG38" s="33">
        <v>6</v>
      </c>
      <c r="KH38" s="30">
        <v>3</v>
      </c>
      <c r="KI38" s="33">
        <v>75</v>
      </c>
      <c r="KJ38" s="33">
        <v>100</v>
      </c>
      <c r="KK38" s="33" t="s">
        <v>405</v>
      </c>
      <c r="KL38" s="33" t="s">
        <v>406</v>
      </c>
      <c r="KM38" s="33"/>
    </row>
    <row r="39" spans="1:299" s="1" customFormat="1">
      <c r="A39" s="8" t="s">
        <v>629</v>
      </c>
      <c r="B39" s="1">
        <v>59</v>
      </c>
      <c r="C39" s="20">
        <v>50</v>
      </c>
      <c r="D39" s="1">
        <v>2</v>
      </c>
      <c r="E39" s="1" t="s">
        <v>588</v>
      </c>
      <c r="F39" s="1">
        <v>21104</v>
      </c>
      <c r="G39" s="1" t="s">
        <v>26</v>
      </c>
      <c r="H39" s="1" t="s">
        <v>30</v>
      </c>
      <c r="I39" s="1" t="s">
        <v>22</v>
      </c>
      <c r="J39" s="10">
        <v>45118</v>
      </c>
      <c r="K39" s="30" t="s">
        <v>661</v>
      </c>
      <c r="L39" s="30" t="s">
        <v>693</v>
      </c>
      <c r="M39" s="1" t="s">
        <v>142</v>
      </c>
      <c r="N39" s="1" t="s">
        <v>144</v>
      </c>
      <c r="O39" s="1">
        <v>0</v>
      </c>
      <c r="T39" s="32">
        <v>45118</v>
      </c>
      <c r="U39" s="30">
        <v>0</v>
      </c>
      <c r="V39" s="30" t="s">
        <v>554</v>
      </c>
      <c r="W39" s="30">
        <v>0</v>
      </c>
      <c r="X39" s="30">
        <v>0</v>
      </c>
      <c r="Y39" s="30">
        <v>10</v>
      </c>
      <c r="Z39" s="30">
        <v>15</v>
      </c>
      <c r="AA39" s="30">
        <v>5</v>
      </c>
      <c r="AB39" s="30">
        <v>5</v>
      </c>
      <c r="AC39" s="33">
        <v>8.75</v>
      </c>
      <c r="AD39" s="30">
        <v>10</v>
      </c>
      <c r="AE39" s="30">
        <v>5</v>
      </c>
      <c r="AF39" s="30">
        <v>0</v>
      </c>
      <c r="AG39" s="30">
        <v>10</v>
      </c>
      <c r="AH39" s="30">
        <v>15</v>
      </c>
      <c r="AI39" s="30">
        <v>5</v>
      </c>
      <c r="AJ39" s="30">
        <v>5</v>
      </c>
      <c r="AK39" s="30">
        <v>20</v>
      </c>
      <c r="AL39" s="31" t="s">
        <v>234</v>
      </c>
      <c r="AM39" s="31" t="s">
        <v>234</v>
      </c>
      <c r="AN39" s="31" t="s">
        <v>234</v>
      </c>
      <c r="AO39" s="31" t="s">
        <v>234</v>
      </c>
      <c r="AP39" s="31" t="s">
        <v>234</v>
      </c>
      <c r="AQ39" s="31" t="s">
        <v>234</v>
      </c>
      <c r="AR39" s="31" t="s">
        <v>234</v>
      </c>
      <c r="AS39" s="33">
        <v>8.75</v>
      </c>
      <c r="AT39" s="33">
        <v>10</v>
      </c>
      <c r="AU39" s="33">
        <v>5</v>
      </c>
      <c r="AV39" s="33">
        <v>12.5</v>
      </c>
      <c r="AW39" s="33">
        <v>10</v>
      </c>
      <c r="AX39" s="33">
        <v>7.5</v>
      </c>
      <c r="AY39" s="34">
        <v>4</v>
      </c>
      <c r="AZ39" s="33">
        <v>0</v>
      </c>
      <c r="BA39" s="30">
        <v>15</v>
      </c>
      <c r="BB39" s="30">
        <v>100</v>
      </c>
      <c r="BC39" s="30">
        <v>15</v>
      </c>
      <c r="BD39" s="30">
        <v>10</v>
      </c>
      <c r="BE39" s="30">
        <v>10</v>
      </c>
      <c r="BF39" s="30">
        <v>20</v>
      </c>
      <c r="BG39" s="30">
        <v>15</v>
      </c>
      <c r="BH39" s="30">
        <v>15</v>
      </c>
      <c r="BI39" s="33">
        <v>12.5</v>
      </c>
      <c r="BJ39" s="30">
        <v>30</v>
      </c>
      <c r="BK39" s="30">
        <v>25</v>
      </c>
      <c r="BL39" s="30">
        <v>15</v>
      </c>
      <c r="BM39" s="30">
        <v>10</v>
      </c>
      <c r="BN39" s="30">
        <v>20</v>
      </c>
      <c r="BO39" s="30">
        <v>15</v>
      </c>
      <c r="BP39" s="30">
        <v>15</v>
      </c>
      <c r="BQ39" s="30">
        <v>65</v>
      </c>
      <c r="BR39" s="31" t="s">
        <v>234</v>
      </c>
      <c r="BS39" s="31" t="s">
        <v>234</v>
      </c>
      <c r="BT39" s="31" t="s">
        <v>234</v>
      </c>
      <c r="BU39" s="31" t="s">
        <v>234</v>
      </c>
      <c r="BV39" s="31" t="s">
        <v>234</v>
      </c>
      <c r="BW39" s="31" t="s">
        <v>234</v>
      </c>
      <c r="BX39" s="31" t="s">
        <v>234</v>
      </c>
      <c r="BY39" s="33">
        <v>13.75</v>
      </c>
      <c r="BZ39" s="33">
        <v>25</v>
      </c>
      <c r="CA39" s="33">
        <v>23.333333333333332</v>
      </c>
      <c r="CB39" s="33">
        <v>15</v>
      </c>
      <c r="CC39" s="33">
        <v>31.666666666666668</v>
      </c>
      <c r="CD39" s="33">
        <v>15</v>
      </c>
      <c r="CE39" s="30" t="s">
        <v>235</v>
      </c>
      <c r="CF39" s="33">
        <v>0</v>
      </c>
      <c r="CG39" s="30">
        <v>15</v>
      </c>
      <c r="CH39" s="30">
        <v>100</v>
      </c>
      <c r="CI39" s="30" t="s">
        <v>407</v>
      </c>
      <c r="CJ39" s="30" t="s">
        <v>408</v>
      </c>
      <c r="CK39" s="30"/>
      <c r="CL39" s="32">
        <v>45215</v>
      </c>
      <c r="CM39" s="30">
        <v>97</v>
      </c>
      <c r="CN39" s="30"/>
      <c r="CO39" s="30">
        <v>5</v>
      </c>
      <c r="CP39" s="30">
        <v>0</v>
      </c>
      <c r="CQ39" s="30">
        <v>10</v>
      </c>
      <c r="CR39" s="30">
        <v>10</v>
      </c>
      <c r="CS39" s="30">
        <v>5</v>
      </c>
      <c r="CT39" s="30">
        <v>10</v>
      </c>
      <c r="CU39" s="33">
        <v>7.5</v>
      </c>
      <c r="CV39" s="30">
        <v>5</v>
      </c>
      <c r="CW39" s="30">
        <v>5</v>
      </c>
      <c r="CX39" s="30">
        <v>0</v>
      </c>
      <c r="CY39" s="30">
        <v>10</v>
      </c>
      <c r="CZ39" s="30">
        <v>10</v>
      </c>
      <c r="DA39" s="30">
        <v>5</v>
      </c>
      <c r="DB39" s="30">
        <v>10</v>
      </c>
      <c r="DC39" s="30">
        <v>5</v>
      </c>
      <c r="DD39" s="30" t="s">
        <v>277</v>
      </c>
      <c r="DE39" s="30" t="s">
        <v>277</v>
      </c>
      <c r="DF39" s="30" t="s">
        <v>277</v>
      </c>
      <c r="DG39" s="30" t="s">
        <v>277</v>
      </c>
      <c r="DH39" s="30" t="s">
        <v>277</v>
      </c>
      <c r="DI39" s="30" t="s">
        <v>277</v>
      </c>
      <c r="DJ39" s="30" t="s">
        <v>277</v>
      </c>
      <c r="DK39" s="33">
        <v>7.5</v>
      </c>
      <c r="DL39" s="33">
        <v>7</v>
      </c>
      <c r="DM39" s="33">
        <v>3.3333333333333335</v>
      </c>
      <c r="DN39" s="33">
        <v>10</v>
      </c>
      <c r="DO39" s="33">
        <v>6.666666666666667</v>
      </c>
      <c r="DP39" s="33">
        <v>6.25</v>
      </c>
      <c r="DQ39" s="30">
        <v>4</v>
      </c>
      <c r="DR39" s="33">
        <v>0</v>
      </c>
      <c r="DS39" s="30">
        <v>10</v>
      </c>
      <c r="DT39" s="30">
        <v>100</v>
      </c>
      <c r="DU39" s="30">
        <v>5</v>
      </c>
      <c r="DV39" s="30">
        <v>0</v>
      </c>
      <c r="DW39" s="30">
        <v>10</v>
      </c>
      <c r="DX39" s="30">
        <v>10</v>
      </c>
      <c r="DY39" s="30">
        <v>5</v>
      </c>
      <c r="DZ39" s="30">
        <v>10</v>
      </c>
      <c r="EA39" s="33">
        <v>7.5</v>
      </c>
      <c r="EB39" s="30">
        <v>5</v>
      </c>
      <c r="EC39" s="30">
        <v>5</v>
      </c>
      <c r="ED39" s="30">
        <v>0</v>
      </c>
      <c r="EE39" s="30">
        <v>10</v>
      </c>
      <c r="EF39" s="30">
        <v>10</v>
      </c>
      <c r="EG39" s="30">
        <v>5</v>
      </c>
      <c r="EH39" s="30">
        <v>10</v>
      </c>
      <c r="EI39" s="30">
        <v>5</v>
      </c>
      <c r="EJ39" s="30" t="s">
        <v>277</v>
      </c>
      <c r="EK39" s="30" t="s">
        <v>277</v>
      </c>
      <c r="EL39" s="30" t="s">
        <v>277</v>
      </c>
      <c r="EM39" s="30" t="s">
        <v>277</v>
      </c>
      <c r="EN39" s="30" t="s">
        <v>277</v>
      </c>
      <c r="EO39" s="30" t="s">
        <v>277</v>
      </c>
      <c r="EP39" s="30" t="s">
        <v>277</v>
      </c>
      <c r="EQ39" s="33">
        <v>7.5</v>
      </c>
      <c r="ER39" s="33">
        <v>7</v>
      </c>
      <c r="ES39" s="33">
        <v>3.3333333333333335</v>
      </c>
      <c r="ET39" s="33">
        <v>10</v>
      </c>
      <c r="EU39" s="33">
        <v>6.666666666666667</v>
      </c>
      <c r="EV39" s="33">
        <v>6.25</v>
      </c>
      <c r="EW39" s="30">
        <v>4</v>
      </c>
      <c r="EX39" s="33">
        <v>0</v>
      </c>
      <c r="EY39" s="30">
        <v>20</v>
      </c>
      <c r="EZ39" s="30">
        <v>96</v>
      </c>
      <c r="FA39" s="30" t="s">
        <v>409</v>
      </c>
      <c r="FB39" s="30" t="s">
        <v>410</v>
      </c>
      <c r="FC39" s="30"/>
      <c r="FD39" s="32">
        <v>45313</v>
      </c>
      <c r="FE39" s="30">
        <v>195</v>
      </c>
      <c r="FF39" s="30"/>
      <c r="FG39" s="30">
        <v>10</v>
      </c>
      <c r="FH39" s="30">
        <v>5</v>
      </c>
      <c r="FI39" s="30">
        <v>10</v>
      </c>
      <c r="FJ39" s="30">
        <v>15</v>
      </c>
      <c r="FK39" s="30">
        <v>5</v>
      </c>
      <c r="FL39" s="30">
        <v>10</v>
      </c>
      <c r="FM39" s="33">
        <v>10</v>
      </c>
      <c r="FN39" s="30">
        <v>15</v>
      </c>
      <c r="FO39" s="30">
        <v>10</v>
      </c>
      <c r="FP39" s="30">
        <v>5</v>
      </c>
      <c r="FQ39" s="30">
        <v>10</v>
      </c>
      <c r="FR39" s="30">
        <v>15</v>
      </c>
      <c r="FS39" s="30">
        <v>5</v>
      </c>
      <c r="FT39" s="30">
        <v>10</v>
      </c>
      <c r="FU39" s="30">
        <v>20</v>
      </c>
      <c r="FV39" s="30" t="s">
        <v>234</v>
      </c>
      <c r="FW39" s="30" t="s">
        <v>234</v>
      </c>
      <c r="FX39" s="30" t="s">
        <v>234</v>
      </c>
      <c r="FY39" s="30" t="s">
        <v>234</v>
      </c>
      <c r="FZ39" s="30" t="s">
        <v>234</v>
      </c>
      <c r="GA39" s="30" t="s">
        <v>234</v>
      </c>
      <c r="GB39" s="30" t="s">
        <v>234</v>
      </c>
      <c r="GC39" s="33">
        <v>10</v>
      </c>
      <c r="GD39" s="33">
        <v>12</v>
      </c>
      <c r="GE39" s="33">
        <v>10</v>
      </c>
      <c r="GF39" s="33">
        <v>12.5</v>
      </c>
      <c r="GG39" s="33">
        <v>11.666666666666666</v>
      </c>
      <c r="GH39" s="33">
        <v>8.75</v>
      </c>
      <c r="GI39" s="30">
        <v>4</v>
      </c>
      <c r="GJ39" s="33">
        <v>0</v>
      </c>
      <c r="GK39" s="30">
        <v>10</v>
      </c>
      <c r="GL39" s="30">
        <v>100</v>
      </c>
      <c r="GM39" s="30">
        <v>20</v>
      </c>
      <c r="GN39" s="30">
        <v>15</v>
      </c>
      <c r="GO39" s="30">
        <v>15</v>
      </c>
      <c r="GP39" s="30">
        <v>25</v>
      </c>
      <c r="GQ39" s="30">
        <v>35</v>
      </c>
      <c r="GR39" s="30">
        <v>35</v>
      </c>
      <c r="GS39" s="30">
        <v>17.5</v>
      </c>
      <c r="GT39" s="30">
        <v>20</v>
      </c>
      <c r="GU39" s="30">
        <v>20</v>
      </c>
      <c r="GV39" s="30">
        <v>15</v>
      </c>
      <c r="GW39" s="30">
        <v>15</v>
      </c>
      <c r="GX39" s="30">
        <v>25</v>
      </c>
      <c r="GY39" s="30">
        <v>35</v>
      </c>
      <c r="GZ39" s="30">
        <v>45</v>
      </c>
      <c r="HA39" s="30">
        <v>75</v>
      </c>
      <c r="HB39" s="30" t="s">
        <v>277</v>
      </c>
      <c r="HC39" s="30" t="s">
        <v>277</v>
      </c>
      <c r="HD39" s="30" t="s">
        <v>277</v>
      </c>
      <c r="HE39" s="30" t="s">
        <v>277</v>
      </c>
      <c r="HF39" s="30" t="s">
        <v>277</v>
      </c>
      <c r="HG39" s="30" t="s">
        <v>277</v>
      </c>
      <c r="HH39" s="30" t="s">
        <v>277</v>
      </c>
      <c r="HI39" s="30">
        <v>17.5</v>
      </c>
      <c r="HJ39" s="30">
        <v>35</v>
      </c>
      <c r="HK39" s="30">
        <v>18.333333333333332</v>
      </c>
      <c r="HL39" s="30">
        <v>20</v>
      </c>
      <c r="HM39" s="30">
        <v>51.666666666666664</v>
      </c>
      <c r="HN39" s="30">
        <v>22.5</v>
      </c>
      <c r="HO39" s="30">
        <v>3</v>
      </c>
      <c r="HP39" s="30">
        <v>1</v>
      </c>
      <c r="HQ39" s="30">
        <v>20</v>
      </c>
      <c r="HR39" s="30">
        <v>92</v>
      </c>
      <c r="HS39" s="30" t="s">
        <v>411</v>
      </c>
      <c r="HT39" s="30" t="s">
        <v>412</v>
      </c>
      <c r="HU39" s="30"/>
      <c r="HV39" s="66"/>
      <c r="HW39" s="30">
        <v>-45118</v>
      </c>
      <c r="HX39" s="30"/>
      <c r="HY39" s="30"/>
      <c r="HZ39" s="30"/>
      <c r="IA39" s="30"/>
      <c r="IB39" s="30"/>
      <c r="IC39" s="30"/>
      <c r="ID39" s="30"/>
      <c r="IE39" s="30">
        <v>0</v>
      </c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>
        <v>0</v>
      </c>
      <c r="IV39" s="30" t="e">
        <v>#DIV/0!</v>
      </c>
      <c r="IW39" s="30" t="e">
        <v>#DIV/0!</v>
      </c>
      <c r="IX39" s="30" t="e">
        <v>#DIV/0!</v>
      </c>
      <c r="IY39" s="30" t="e">
        <v>#DIV/0!</v>
      </c>
      <c r="IZ39" s="30" t="e">
        <v>#DIV/0!</v>
      </c>
      <c r="JA39" s="30" t="e">
        <v>#DIV/0!</v>
      </c>
      <c r="JB39" s="30" t="e">
        <v>#DIV/0!</v>
      </c>
      <c r="JC39" s="30"/>
      <c r="JD39" s="30"/>
      <c r="JE39" s="30"/>
      <c r="JF39" s="30"/>
      <c r="JG39" s="30"/>
      <c r="JH39" s="30"/>
      <c r="JI39" s="30"/>
      <c r="JJ39" s="30"/>
      <c r="JK39" s="30">
        <v>0</v>
      </c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>
        <v>0</v>
      </c>
      <c r="KB39" s="30" t="e">
        <v>#DIV/0!</v>
      </c>
      <c r="KC39" s="30" t="e">
        <v>#DIV/0!</v>
      </c>
      <c r="KD39" s="30" t="e">
        <v>#DIV/0!</v>
      </c>
      <c r="KE39" s="30" t="e">
        <v>#DIV/0!</v>
      </c>
      <c r="KF39" s="30" t="e">
        <v>#DIV/0!</v>
      </c>
      <c r="KG39" s="30" t="e">
        <v>#DIV/0!</v>
      </c>
      <c r="KH39" s="30" t="e">
        <v>#DIV/0!</v>
      </c>
      <c r="KI39" s="30"/>
      <c r="KJ39" s="30"/>
      <c r="KK39" s="30"/>
      <c r="KL39" s="30"/>
      <c r="KM39" s="30"/>
    </row>
    <row r="40" spans="1:299" s="1" customFormat="1">
      <c r="A40" s="8" t="s">
        <v>630</v>
      </c>
      <c r="B40" s="1">
        <v>62</v>
      </c>
      <c r="C40" s="20">
        <v>60</v>
      </c>
      <c r="D40" s="1">
        <v>2</v>
      </c>
      <c r="E40" s="1" t="s">
        <v>588</v>
      </c>
      <c r="F40" s="1">
        <v>21096</v>
      </c>
      <c r="G40" s="12" t="s">
        <v>55</v>
      </c>
      <c r="H40" s="12" t="s">
        <v>43</v>
      </c>
      <c r="I40" s="12" t="s">
        <v>22</v>
      </c>
      <c r="J40" s="13">
        <v>44939</v>
      </c>
      <c r="K40" s="30" t="s">
        <v>678</v>
      </c>
      <c r="L40" s="30" t="s">
        <v>694</v>
      </c>
      <c r="M40" s="1" t="s">
        <v>152</v>
      </c>
      <c r="N40" s="12" t="s">
        <v>114</v>
      </c>
      <c r="O40" s="1">
        <v>0</v>
      </c>
      <c r="T40" s="32">
        <v>44937</v>
      </c>
      <c r="U40" s="30">
        <v>-2</v>
      </c>
      <c r="V40" s="30"/>
      <c r="W40" s="30">
        <v>10</v>
      </c>
      <c r="X40" s="30">
        <v>35</v>
      </c>
      <c r="Y40" s="30">
        <v>45</v>
      </c>
      <c r="Z40" s="30">
        <v>60</v>
      </c>
      <c r="AA40" s="30">
        <v>55</v>
      </c>
      <c r="AB40" s="30">
        <v>50</v>
      </c>
      <c r="AC40" s="33">
        <v>46.25</v>
      </c>
      <c r="AD40" s="30">
        <v>75</v>
      </c>
      <c r="AE40" s="30">
        <v>60</v>
      </c>
      <c r="AF40" s="30">
        <v>65</v>
      </c>
      <c r="AG40" s="30">
        <v>80</v>
      </c>
      <c r="AH40" s="30">
        <v>85</v>
      </c>
      <c r="AI40" s="30">
        <v>105</v>
      </c>
      <c r="AJ40" s="30">
        <v>95</v>
      </c>
      <c r="AK40" s="47">
        <v>110</v>
      </c>
      <c r="AL40" s="31" t="s">
        <v>234</v>
      </c>
      <c r="AM40" s="31" t="s">
        <v>234</v>
      </c>
      <c r="AN40" s="31" t="s">
        <v>234</v>
      </c>
      <c r="AO40" s="31" t="s">
        <v>234</v>
      </c>
      <c r="AP40" s="31" t="s">
        <v>234</v>
      </c>
      <c r="AQ40" s="31" t="s">
        <v>234</v>
      </c>
      <c r="AR40" s="31" t="s">
        <v>234</v>
      </c>
      <c r="AS40" s="33">
        <v>77.5</v>
      </c>
      <c r="AT40" s="33">
        <v>87</v>
      </c>
      <c r="AU40" s="33">
        <v>66.666666666666671</v>
      </c>
      <c r="AV40" s="33">
        <v>82.5</v>
      </c>
      <c r="AW40" s="33">
        <v>103.33333333333333</v>
      </c>
      <c r="AX40" s="33">
        <v>83.75</v>
      </c>
      <c r="AY40" s="34">
        <v>3</v>
      </c>
      <c r="AZ40" s="33">
        <v>4</v>
      </c>
      <c r="BA40" s="30">
        <v>80</v>
      </c>
      <c r="BB40" s="30">
        <v>76</v>
      </c>
      <c r="BC40" s="30">
        <v>25</v>
      </c>
      <c r="BD40" s="30">
        <v>30</v>
      </c>
      <c r="BE40" s="30">
        <v>35</v>
      </c>
      <c r="BF40" s="30">
        <v>30</v>
      </c>
      <c r="BG40" s="30">
        <v>30</v>
      </c>
      <c r="BH40" s="30">
        <v>25</v>
      </c>
      <c r="BI40" s="33">
        <v>32.5</v>
      </c>
      <c r="BJ40" s="30">
        <v>30</v>
      </c>
      <c r="BK40" s="30">
        <v>25</v>
      </c>
      <c r="BL40" s="30">
        <v>30</v>
      </c>
      <c r="BM40" s="30">
        <v>35</v>
      </c>
      <c r="BN40" s="30">
        <v>30</v>
      </c>
      <c r="BO40" s="30">
        <v>30</v>
      </c>
      <c r="BP40" s="30">
        <v>30</v>
      </c>
      <c r="BQ40" s="30">
        <v>50</v>
      </c>
      <c r="BR40" s="31" t="s">
        <v>234</v>
      </c>
      <c r="BS40" s="31" t="s">
        <v>234</v>
      </c>
      <c r="BT40" s="31" t="s">
        <v>234</v>
      </c>
      <c r="BU40" s="31" t="s">
        <v>234</v>
      </c>
      <c r="BV40" s="31" t="s">
        <v>234</v>
      </c>
      <c r="BW40" s="31" t="s">
        <v>234</v>
      </c>
      <c r="BX40" s="31" t="s">
        <v>234</v>
      </c>
      <c r="BY40" s="33">
        <v>32.5</v>
      </c>
      <c r="BZ40" s="33">
        <v>35</v>
      </c>
      <c r="CA40" s="33">
        <v>28.333333333333332</v>
      </c>
      <c r="CB40" s="33">
        <v>32.5</v>
      </c>
      <c r="CC40" s="33">
        <v>36.666666666666664</v>
      </c>
      <c r="CD40" s="33">
        <v>31.25</v>
      </c>
      <c r="CE40" s="30">
        <v>3</v>
      </c>
      <c r="CF40" s="33">
        <v>1</v>
      </c>
      <c r="CG40" s="30">
        <v>35</v>
      </c>
      <c r="CH40" s="30">
        <v>100</v>
      </c>
      <c r="CI40" s="30" t="s">
        <v>413</v>
      </c>
      <c r="CJ40" s="31" t="s">
        <v>414</v>
      </c>
      <c r="CK40" s="56"/>
      <c r="CL40" s="32">
        <v>45021</v>
      </c>
      <c r="CM40" s="30">
        <v>82</v>
      </c>
      <c r="CN40" s="30"/>
      <c r="CO40" s="30">
        <v>20</v>
      </c>
      <c r="CP40" s="30">
        <v>35</v>
      </c>
      <c r="CQ40" s="30">
        <v>40</v>
      </c>
      <c r="CR40" s="30">
        <v>70</v>
      </c>
      <c r="CS40" s="30">
        <v>75</v>
      </c>
      <c r="CT40" s="30">
        <v>75</v>
      </c>
      <c r="CU40" s="33">
        <v>46.25</v>
      </c>
      <c r="CV40" s="30">
        <v>60</v>
      </c>
      <c r="CW40" s="30">
        <v>65</v>
      </c>
      <c r="CX40" s="30">
        <v>65</v>
      </c>
      <c r="CY40" s="30">
        <v>85</v>
      </c>
      <c r="CZ40" s="30">
        <v>95</v>
      </c>
      <c r="DA40" s="30">
        <v>115</v>
      </c>
      <c r="DB40" s="42">
        <v>125</v>
      </c>
      <c r="DC40" s="42">
        <v>105</v>
      </c>
      <c r="DD40" s="30" t="s">
        <v>277</v>
      </c>
      <c r="DE40" s="30" t="s">
        <v>277</v>
      </c>
      <c r="DF40" s="30" t="s">
        <v>277</v>
      </c>
      <c r="DG40" s="30" t="s">
        <v>277</v>
      </c>
      <c r="DH40" s="30" t="s">
        <v>277</v>
      </c>
      <c r="DI40" s="30" t="s">
        <v>277</v>
      </c>
      <c r="DJ40" s="30" t="s">
        <v>277</v>
      </c>
      <c r="DK40" s="33">
        <v>82.5</v>
      </c>
      <c r="DL40" s="33">
        <v>95</v>
      </c>
      <c r="DM40" s="33">
        <v>63.333333333333336</v>
      </c>
      <c r="DN40" s="33">
        <v>90</v>
      </c>
      <c r="DO40" s="33">
        <v>115</v>
      </c>
      <c r="DP40" s="33">
        <v>90</v>
      </c>
      <c r="DQ40" s="30">
        <v>6</v>
      </c>
      <c r="DR40" s="33">
        <v>4</v>
      </c>
      <c r="DS40" s="30">
        <v>70</v>
      </c>
      <c r="DT40" s="30">
        <v>48</v>
      </c>
      <c r="DU40" s="30">
        <v>40</v>
      </c>
      <c r="DV40" s="30">
        <v>40</v>
      </c>
      <c r="DW40" s="30">
        <v>30</v>
      </c>
      <c r="DX40" s="30">
        <v>25</v>
      </c>
      <c r="DY40" s="30">
        <v>20</v>
      </c>
      <c r="DZ40" s="30">
        <v>15</v>
      </c>
      <c r="EA40" s="33">
        <v>31.25</v>
      </c>
      <c r="EB40" s="30">
        <v>45</v>
      </c>
      <c r="EC40" s="30">
        <v>45</v>
      </c>
      <c r="ED40" s="30">
        <v>40</v>
      </c>
      <c r="EE40" s="30">
        <v>30</v>
      </c>
      <c r="EF40" s="30">
        <v>25</v>
      </c>
      <c r="EG40" s="30">
        <v>20</v>
      </c>
      <c r="EH40" s="30">
        <v>20</v>
      </c>
      <c r="EI40" s="30">
        <v>55</v>
      </c>
      <c r="EJ40" s="30" t="s">
        <v>277</v>
      </c>
      <c r="EK40" s="30" t="s">
        <v>277</v>
      </c>
      <c r="EL40" s="30" t="s">
        <v>277</v>
      </c>
      <c r="EM40" s="30" t="s">
        <v>277</v>
      </c>
      <c r="EN40" s="30" t="s">
        <v>277</v>
      </c>
      <c r="EO40" s="30" t="s">
        <v>277</v>
      </c>
      <c r="EP40" s="30" t="s">
        <v>277</v>
      </c>
      <c r="EQ40" s="33">
        <v>31.25</v>
      </c>
      <c r="ER40" s="33">
        <v>34</v>
      </c>
      <c r="ES40" s="33">
        <v>43.333333333333336</v>
      </c>
      <c r="ET40" s="33">
        <v>27.5</v>
      </c>
      <c r="EU40" s="33">
        <v>31.666666666666668</v>
      </c>
      <c r="EV40" s="33">
        <v>28.75</v>
      </c>
      <c r="EW40" s="30">
        <v>6</v>
      </c>
      <c r="EX40" s="33">
        <v>1</v>
      </c>
      <c r="EY40" s="30">
        <v>25</v>
      </c>
      <c r="EZ40" s="30">
        <v>100</v>
      </c>
      <c r="FA40" s="30"/>
      <c r="FB40" s="30"/>
      <c r="FC40" s="56" t="s">
        <v>415</v>
      </c>
      <c r="FD40" s="32">
        <v>45119</v>
      </c>
      <c r="FE40" s="30">
        <v>180</v>
      </c>
      <c r="FF40" s="30"/>
      <c r="FG40" s="30">
        <v>15</v>
      </c>
      <c r="FH40" s="30">
        <v>40</v>
      </c>
      <c r="FI40" s="30">
        <v>45</v>
      </c>
      <c r="FJ40" s="42">
        <v>85</v>
      </c>
      <c r="FK40" s="42">
        <v>85</v>
      </c>
      <c r="FL40" s="30">
        <v>75</v>
      </c>
      <c r="FM40" s="33">
        <v>53.75</v>
      </c>
      <c r="FN40" s="30">
        <v>65</v>
      </c>
      <c r="FO40" s="30">
        <v>50</v>
      </c>
      <c r="FP40" s="30">
        <v>50</v>
      </c>
      <c r="FQ40" s="30">
        <v>75</v>
      </c>
      <c r="FR40" s="30">
        <v>85</v>
      </c>
      <c r="FS40" s="30">
        <v>110</v>
      </c>
      <c r="FT40" s="30">
        <v>100</v>
      </c>
      <c r="FU40" s="42">
        <v>110</v>
      </c>
      <c r="FV40" s="30" t="s">
        <v>234</v>
      </c>
      <c r="FW40" s="30" t="s">
        <v>234</v>
      </c>
      <c r="FX40" s="30" t="s">
        <v>234</v>
      </c>
      <c r="FY40" s="30" t="s">
        <v>234</v>
      </c>
      <c r="FZ40" s="30" t="s">
        <v>234</v>
      </c>
      <c r="GA40" s="30" t="s">
        <v>234</v>
      </c>
      <c r="GB40" s="30" t="s">
        <v>234</v>
      </c>
      <c r="GC40" s="33">
        <v>71.25</v>
      </c>
      <c r="GD40" s="33">
        <v>84</v>
      </c>
      <c r="GE40" s="33">
        <v>55</v>
      </c>
      <c r="GF40" s="33">
        <v>80</v>
      </c>
      <c r="GG40" s="33">
        <v>106.66666666666667</v>
      </c>
      <c r="GH40" s="33">
        <v>80</v>
      </c>
      <c r="GI40" s="30">
        <v>6</v>
      </c>
      <c r="GJ40" s="33">
        <v>3</v>
      </c>
      <c r="GK40" s="30">
        <v>70</v>
      </c>
      <c r="GL40" s="30">
        <v>52</v>
      </c>
      <c r="GM40" s="30">
        <v>25</v>
      </c>
      <c r="GN40" s="30">
        <v>25</v>
      </c>
      <c r="GO40" s="30">
        <v>25</v>
      </c>
      <c r="GP40" s="30">
        <v>20</v>
      </c>
      <c r="GQ40" s="30">
        <v>25</v>
      </c>
      <c r="GR40" s="30">
        <v>25</v>
      </c>
      <c r="GS40" s="30">
        <v>23.75</v>
      </c>
      <c r="GT40" s="30">
        <v>25</v>
      </c>
      <c r="GU40" s="30">
        <v>25</v>
      </c>
      <c r="GV40" s="30">
        <v>25</v>
      </c>
      <c r="GW40" s="30">
        <v>30</v>
      </c>
      <c r="GX40" s="30">
        <v>20</v>
      </c>
      <c r="GY40" s="30">
        <v>25</v>
      </c>
      <c r="GZ40" s="30">
        <v>30</v>
      </c>
      <c r="HA40" s="30">
        <v>30</v>
      </c>
      <c r="HB40" s="30" t="s">
        <v>277</v>
      </c>
      <c r="HC40" s="30" t="s">
        <v>277</v>
      </c>
      <c r="HD40" s="30" t="s">
        <v>277</v>
      </c>
      <c r="HE40" s="30" t="s">
        <v>277</v>
      </c>
      <c r="HF40" s="30" t="s">
        <v>277</v>
      </c>
      <c r="HG40" s="30" t="s">
        <v>277</v>
      </c>
      <c r="HH40" s="30" t="s">
        <v>277</v>
      </c>
      <c r="HI40" s="30">
        <v>26.25</v>
      </c>
      <c r="HJ40" s="30">
        <v>27</v>
      </c>
      <c r="HK40" s="30">
        <v>25</v>
      </c>
      <c r="HL40" s="30">
        <v>25</v>
      </c>
      <c r="HM40" s="30">
        <v>28.333333333333332</v>
      </c>
      <c r="HN40" s="30">
        <v>25</v>
      </c>
      <c r="HO40" s="30">
        <v>4</v>
      </c>
      <c r="HP40" s="30">
        <v>1</v>
      </c>
      <c r="HQ40" s="30">
        <v>25</v>
      </c>
      <c r="HR40" s="30">
        <v>100</v>
      </c>
      <c r="HS40" s="30" t="s">
        <v>416</v>
      </c>
      <c r="HT40" s="30" t="s">
        <v>417</v>
      </c>
      <c r="HU40" s="56"/>
      <c r="HV40" s="32">
        <v>45369</v>
      </c>
      <c r="HW40" s="30">
        <v>430</v>
      </c>
      <c r="HX40" s="30"/>
      <c r="HY40" s="30">
        <v>25</v>
      </c>
      <c r="HZ40" s="30">
        <v>25</v>
      </c>
      <c r="IA40" s="30">
        <v>30</v>
      </c>
      <c r="IB40" s="30">
        <v>70</v>
      </c>
      <c r="IC40" s="30">
        <v>75</v>
      </c>
      <c r="ID40" s="30" t="s">
        <v>550</v>
      </c>
      <c r="IE40" s="30">
        <v>38.75</v>
      </c>
      <c r="IF40" s="30">
        <v>65</v>
      </c>
      <c r="IG40" s="30">
        <v>55</v>
      </c>
      <c r="IH40" s="30">
        <v>50</v>
      </c>
      <c r="II40" s="30">
        <v>75</v>
      </c>
      <c r="IJ40" s="30">
        <v>80</v>
      </c>
      <c r="IK40" s="30">
        <v>75</v>
      </c>
      <c r="IL40" s="30">
        <v>95</v>
      </c>
      <c r="IM40" s="30">
        <v>95</v>
      </c>
      <c r="IN40" s="30" t="s">
        <v>277</v>
      </c>
      <c r="IO40" s="30" t="s">
        <v>277</v>
      </c>
      <c r="IP40" s="30" t="s">
        <v>277</v>
      </c>
      <c r="IQ40" s="30" t="s">
        <v>277</v>
      </c>
      <c r="IR40" s="30" t="s">
        <v>277</v>
      </c>
      <c r="IS40" s="30" t="s">
        <v>277</v>
      </c>
      <c r="IT40" s="30" t="s">
        <v>277</v>
      </c>
      <c r="IU40" s="30">
        <v>70</v>
      </c>
      <c r="IV40" s="30">
        <v>79</v>
      </c>
      <c r="IW40" s="30">
        <v>56.666666666666664</v>
      </c>
      <c r="IX40" s="30">
        <v>77.5</v>
      </c>
      <c r="IY40" s="30">
        <v>88.333333333333329</v>
      </c>
      <c r="IZ40" s="30">
        <v>70</v>
      </c>
      <c r="JA40" s="30">
        <v>3</v>
      </c>
      <c r="JB40" s="30">
        <v>3</v>
      </c>
      <c r="JC40" s="30">
        <v>45</v>
      </c>
      <c r="JD40" s="30">
        <v>68</v>
      </c>
      <c r="JE40" s="30">
        <v>35</v>
      </c>
      <c r="JF40" s="30">
        <v>30</v>
      </c>
      <c r="JG40" s="30">
        <v>25</v>
      </c>
      <c r="JH40" s="30">
        <v>15</v>
      </c>
      <c r="JI40" s="30">
        <v>25</v>
      </c>
      <c r="JJ40" s="30">
        <v>30</v>
      </c>
      <c r="JK40" s="30">
        <v>23.75</v>
      </c>
      <c r="JL40" s="30">
        <v>35</v>
      </c>
      <c r="JM40" s="30">
        <v>35</v>
      </c>
      <c r="JN40" s="30">
        <v>30</v>
      </c>
      <c r="JO40" s="30">
        <v>30</v>
      </c>
      <c r="JP40" s="30">
        <v>15</v>
      </c>
      <c r="JQ40" s="30">
        <v>25</v>
      </c>
      <c r="JR40" s="30">
        <v>30</v>
      </c>
      <c r="JS40" s="30">
        <v>25</v>
      </c>
      <c r="JT40" s="30" t="s">
        <v>277</v>
      </c>
      <c r="JU40" s="30" t="s">
        <v>277</v>
      </c>
      <c r="JV40" s="30" t="s">
        <v>277</v>
      </c>
      <c r="JW40" s="30" t="s">
        <v>277</v>
      </c>
      <c r="JX40" s="30" t="s">
        <v>277</v>
      </c>
      <c r="JY40" s="30" t="s">
        <v>277</v>
      </c>
      <c r="JZ40" s="30" t="s">
        <v>277</v>
      </c>
      <c r="KA40" s="30">
        <v>26.25</v>
      </c>
      <c r="KB40" s="30">
        <v>26</v>
      </c>
      <c r="KC40" s="30">
        <v>33.333333333333336</v>
      </c>
      <c r="KD40" s="30">
        <v>22.5</v>
      </c>
      <c r="KE40" s="30">
        <v>26.666666666666668</v>
      </c>
      <c r="KF40" s="30">
        <v>25</v>
      </c>
      <c r="KG40" s="30">
        <v>1</v>
      </c>
      <c r="KH40" s="30">
        <v>1</v>
      </c>
      <c r="KI40" s="30">
        <v>25</v>
      </c>
      <c r="KJ40" s="30">
        <v>100</v>
      </c>
      <c r="KK40" s="30"/>
      <c r="KL40" s="30"/>
      <c r="KM40" s="30"/>
    </row>
    <row r="41" spans="1:299" s="1" customFormat="1">
      <c r="A41" s="8" t="s">
        <v>631</v>
      </c>
      <c r="B41" s="1">
        <v>60</v>
      </c>
      <c r="C41" s="1">
        <v>60</v>
      </c>
      <c r="D41" s="1">
        <v>2</v>
      </c>
      <c r="E41" s="1" t="s">
        <v>592</v>
      </c>
      <c r="F41" s="73" t="s">
        <v>586</v>
      </c>
      <c r="G41" s="10">
        <v>44133</v>
      </c>
      <c r="H41" s="10">
        <v>44152</v>
      </c>
      <c r="I41" s="12" t="s">
        <v>22</v>
      </c>
      <c r="J41" s="10">
        <v>44152</v>
      </c>
      <c r="K41" s="30" t="s">
        <v>664</v>
      </c>
      <c r="L41" s="30" t="s">
        <v>695</v>
      </c>
      <c r="N41" s="1" t="s">
        <v>178</v>
      </c>
      <c r="T41" s="32">
        <v>44151</v>
      </c>
      <c r="U41" s="30">
        <v>-1</v>
      </c>
      <c r="V41" s="30" t="s">
        <v>554</v>
      </c>
      <c r="W41" s="30">
        <v>10</v>
      </c>
      <c r="X41" s="30">
        <v>30</v>
      </c>
      <c r="Y41" s="30">
        <v>25</v>
      </c>
      <c r="Z41" s="30">
        <v>15</v>
      </c>
      <c r="AA41" s="30">
        <v>0</v>
      </c>
      <c r="AB41" s="30">
        <v>0</v>
      </c>
      <c r="AC41" s="33">
        <v>23.75</v>
      </c>
      <c r="AD41" s="30">
        <v>10</v>
      </c>
      <c r="AE41" s="30">
        <v>20</v>
      </c>
      <c r="AF41" s="30">
        <v>30</v>
      </c>
      <c r="AG41" s="30">
        <v>25</v>
      </c>
      <c r="AH41" s="30">
        <v>15</v>
      </c>
      <c r="AI41" s="30">
        <v>20</v>
      </c>
      <c r="AJ41" s="30">
        <v>20</v>
      </c>
      <c r="AK41" s="30">
        <v>60</v>
      </c>
      <c r="AL41" s="31" t="s">
        <v>234</v>
      </c>
      <c r="AM41" s="31" t="s">
        <v>234</v>
      </c>
      <c r="AN41" s="31" t="s">
        <v>234</v>
      </c>
      <c r="AO41" s="31" t="s">
        <v>234</v>
      </c>
      <c r="AP41" s="31" t="s">
        <v>234</v>
      </c>
      <c r="AQ41" s="31" t="s">
        <v>234</v>
      </c>
      <c r="AR41" s="31" t="s">
        <v>234</v>
      </c>
      <c r="AS41" s="33">
        <v>23.75</v>
      </c>
      <c r="AT41" s="33">
        <v>30</v>
      </c>
      <c r="AU41" s="33">
        <v>20</v>
      </c>
      <c r="AV41" s="33">
        <v>20</v>
      </c>
      <c r="AW41" s="33">
        <v>33.333333333333336</v>
      </c>
      <c r="AX41" s="33">
        <v>22.5</v>
      </c>
      <c r="AY41" s="34">
        <v>3</v>
      </c>
      <c r="AZ41" s="33">
        <v>1</v>
      </c>
      <c r="BA41" s="30">
        <v>25</v>
      </c>
      <c r="BB41" s="30">
        <v>100</v>
      </c>
      <c r="BC41" s="30">
        <v>10</v>
      </c>
      <c r="BD41" s="30">
        <v>35</v>
      </c>
      <c r="BE41" s="30">
        <v>35</v>
      </c>
      <c r="BF41" s="30">
        <v>25</v>
      </c>
      <c r="BG41" s="30">
        <v>20</v>
      </c>
      <c r="BH41" s="30">
        <v>15</v>
      </c>
      <c r="BI41" s="33">
        <v>32.5</v>
      </c>
      <c r="BJ41" s="30">
        <v>35</v>
      </c>
      <c r="BK41" s="30">
        <v>35</v>
      </c>
      <c r="BL41" s="30">
        <v>45</v>
      </c>
      <c r="BM41" s="30">
        <v>45</v>
      </c>
      <c r="BN41" s="30">
        <v>25</v>
      </c>
      <c r="BO41" s="30">
        <v>20</v>
      </c>
      <c r="BP41" s="30">
        <v>35</v>
      </c>
      <c r="BQ41" s="30">
        <v>70</v>
      </c>
      <c r="BR41" s="31" t="s">
        <v>234</v>
      </c>
      <c r="BS41" s="31" t="s">
        <v>234</v>
      </c>
      <c r="BT41" s="31" t="s">
        <v>234</v>
      </c>
      <c r="BU41" s="31" t="s">
        <v>234</v>
      </c>
      <c r="BV41" s="31" t="s">
        <v>234</v>
      </c>
      <c r="BW41" s="31" t="s">
        <v>234</v>
      </c>
      <c r="BX41" s="31" t="s">
        <v>234</v>
      </c>
      <c r="BY41" s="33">
        <v>40</v>
      </c>
      <c r="BZ41" s="33">
        <v>44</v>
      </c>
      <c r="CA41" s="33">
        <v>38.333333333333336</v>
      </c>
      <c r="CB41" s="33">
        <v>35</v>
      </c>
      <c r="CC41" s="33">
        <v>41.666666666666664</v>
      </c>
      <c r="CD41" s="33">
        <v>33.75</v>
      </c>
      <c r="CE41" s="30">
        <v>3</v>
      </c>
      <c r="CF41" s="33">
        <v>1</v>
      </c>
      <c r="CG41" s="30">
        <v>35</v>
      </c>
      <c r="CH41" s="30">
        <v>100</v>
      </c>
      <c r="CI41" s="31" t="s">
        <v>418</v>
      </c>
      <c r="CJ41" s="31" t="s">
        <v>419</v>
      </c>
      <c r="CK41" s="56"/>
      <c r="CL41" s="32">
        <v>44242</v>
      </c>
      <c r="CM41" s="30">
        <v>90</v>
      </c>
      <c r="CN41" s="30"/>
      <c r="CO41" s="30">
        <v>20</v>
      </c>
      <c r="CP41" s="30">
        <v>40</v>
      </c>
      <c r="CQ41" s="30">
        <v>25</v>
      </c>
      <c r="CR41" s="30">
        <v>20</v>
      </c>
      <c r="CS41" s="30">
        <v>15</v>
      </c>
      <c r="CT41" s="30">
        <v>10</v>
      </c>
      <c r="CU41" s="33">
        <v>27.5</v>
      </c>
      <c r="CV41" s="30">
        <v>10</v>
      </c>
      <c r="CW41" s="30">
        <v>20</v>
      </c>
      <c r="CX41" s="30">
        <v>40</v>
      </c>
      <c r="CY41" s="30">
        <v>25</v>
      </c>
      <c r="CZ41" s="30">
        <v>20</v>
      </c>
      <c r="DA41" s="30">
        <v>20</v>
      </c>
      <c r="DB41" s="30">
        <v>20</v>
      </c>
      <c r="DC41" s="30">
        <v>60</v>
      </c>
      <c r="DD41" s="31" t="s">
        <v>234</v>
      </c>
      <c r="DE41" s="31" t="s">
        <v>234</v>
      </c>
      <c r="DF41" s="31" t="s">
        <v>234</v>
      </c>
      <c r="DG41" s="31" t="s">
        <v>234</v>
      </c>
      <c r="DH41" s="31" t="s">
        <v>234</v>
      </c>
      <c r="DI41" s="31" t="s">
        <v>234</v>
      </c>
      <c r="DJ41" s="31" t="s">
        <v>234</v>
      </c>
      <c r="DK41" s="33">
        <v>27.5</v>
      </c>
      <c r="DL41" s="33">
        <v>33</v>
      </c>
      <c r="DM41" s="33">
        <v>23.333333333333332</v>
      </c>
      <c r="DN41" s="33">
        <v>22.5</v>
      </c>
      <c r="DO41" s="33">
        <v>33.333333333333336</v>
      </c>
      <c r="DP41" s="33">
        <v>26.25</v>
      </c>
      <c r="DQ41" s="30">
        <v>3</v>
      </c>
      <c r="DR41" s="33">
        <v>1</v>
      </c>
      <c r="DS41" s="30">
        <v>30</v>
      </c>
      <c r="DT41" s="30">
        <v>100</v>
      </c>
      <c r="DU41" s="30">
        <v>15</v>
      </c>
      <c r="DV41" s="30">
        <v>35</v>
      </c>
      <c r="DW41" s="30">
        <v>25</v>
      </c>
      <c r="DX41" s="30">
        <v>25</v>
      </c>
      <c r="DY41" s="30">
        <v>25</v>
      </c>
      <c r="DZ41" s="30">
        <v>15</v>
      </c>
      <c r="EA41" s="33">
        <v>27.5</v>
      </c>
      <c r="EB41" s="30">
        <v>50</v>
      </c>
      <c r="EC41" s="30">
        <v>55</v>
      </c>
      <c r="ED41" s="30">
        <v>65</v>
      </c>
      <c r="EE41" s="30">
        <v>55</v>
      </c>
      <c r="EF41" s="30">
        <v>40</v>
      </c>
      <c r="EG41" s="30">
        <v>35</v>
      </c>
      <c r="EH41" s="30">
        <v>40</v>
      </c>
      <c r="EI41" s="30">
        <v>75</v>
      </c>
      <c r="EJ41" s="31" t="s">
        <v>234</v>
      </c>
      <c r="EK41" s="31" t="s">
        <v>234</v>
      </c>
      <c r="EL41" s="31" t="s">
        <v>234</v>
      </c>
      <c r="EM41" s="31" t="s">
        <v>234</v>
      </c>
      <c r="EN41" s="31" t="s">
        <v>234</v>
      </c>
      <c r="EO41" s="31" t="s">
        <v>234</v>
      </c>
      <c r="EP41" s="31" t="s">
        <v>234</v>
      </c>
      <c r="EQ41" s="33">
        <v>53.75</v>
      </c>
      <c r="ER41" s="33">
        <v>55</v>
      </c>
      <c r="ES41" s="33">
        <v>56.666666666666664</v>
      </c>
      <c r="ET41" s="33">
        <v>47.5</v>
      </c>
      <c r="EU41" s="33">
        <v>50</v>
      </c>
      <c r="EV41" s="33">
        <v>48.75</v>
      </c>
      <c r="EW41" s="31">
        <v>3</v>
      </c>
      <c r="EX41" s="33">
        <v>2</v>
      </c>
      <c r="EY41" s="30">
        <v>55</v>
      </c>
      <c r="EZ41" s="30">
        <v>100</v>
      </c>
      <c r="FA41" s="31" t="s">
        <v>420</v>
      </c>
      <c r="FB41" s="31" t="s">
        <v>421</v>
      </c>
      <c r="FC41" s="56"/>
      <c r="FD41" s="32">
        <v>44328</v>
      </c>
      <c r="FE41" s="30">
        <v>176</v>
      </c>
      <c r="FF41" s="30"/>
      <c r="FG41" s="30">
        <v>20</v>
      </c>
      <c r="FH41" s="30">
        <v>40</v>
      </c>
      <c r="FI41" s="30">
        <v>25</v>
      </c>
      <c r="FJ41" s="30">
        <v>25</v>
      </c>
      <c r="FK41" s="30">
        <v>15</v>
      </c>
      <c r="FL41" s="30">
        <v>10</v>
      </c>
      <c r="FM41" s="33">
        <v>28.75</v>
      </c>
      <c r="FN41" s="30">
        <v>20</v>
      </c>
      <c r="FO41" s="30">
        <v>25</v>
      </c>
      <c r="FP41" s="30">
        <v>40</v>
      </c>
      <c r="FQ41" s="30">
        <v>25</v>
      </c>
      <c r="FR41" s="30">
        <v>25</v>
      </c>
      <c r="FS41" s="30">
        <v>20</v>
      </c>
      <c r="FT41" s="30">
        <v>20</v>
      </c>
      <c r="FU41" s="30">
        <v>60</v>
      </c>
      <c r="FV41" s="31" t="s">
        <v>234</v>
      </c>
      <c r="FW41" s="31" t="s">
        <v>234</v>
      </c>
      <c r="FX41" s="31" t="s">
        <v>234</v>
      </c>
      <c r="FY41" s="31" t="s">
        <v>234</v>
      </c>
      <c r="FZ41" s="31" t="s">
        <v>234</v>
      </c>
      <c r="GA41" s="31" t="s">
        <v>234</v>
      </c>
      <c r="GB41" s="31" t="s">
        <v>234</v>
      </c>
      <c r="GC41" s="33">
        <v>28.75</v>
      </c>
      <c r="GD41" s="33">
        <v>34</v>
      </c>
      <c r="GE41" s="33">
        <v>28.333333333333332</v>
      </c>
      <c r="GF41" s="33">
        <v>25</v>
      </c>
      <c r="GG41" s="33">
        <v>33.333333333333336</v>
      </c>
      <c r="GH41" s="33">
        <v>27.5</v>
      </c>
      <c r="GI41" s="30">
        <v>3</v>
      </c>
      <c r="GJ41" s="33">
        <v>1</v>
      </c>
      <c r="GK41" s="30">
        <v>30</v>
      </c>
      <c r="GL41" s="30">
        <v>100</v>
      </c>
      <c r="GM41" s="30">
        <v>10</v>
      </c>
      <c r="GN41" s="30">
        <v>30</v>
      </c>
      <c r="GO41" s="30">
        <v>15</v>
      </c>
      <c r="GP41" s="30">
        <v>25</v>
      </c>
      <c r="GQ41" s="30">
        <v>25</v>
      </c>
      <c r="GR41" s="30">
        <v>20</v>
      </c>
      <c r="GS41" s="30">
        <v>21.25</v>
      </c>
      <c r="GT41" s="30">
        <v>55</v>
      </c>
      <c r="GU41" s="30">
        <v>55</v>
      </c>
      <c r="GV41" s="30">
        <v>65</v>
      </c>
      <c r="GW41" s="30">
        <v>55</v>
      </c>
      <c r="GX41" s="30">
        <v>35</v>
      </c>
      <c r="GY41" s="30">
        <v>30</v>
      </c>
      <c r="GZ41" s="30">
        <v>35</v>
      </c>
      <c r="HA41" s="30">
        <v>80</v>
      </c>
      <c r="HB41" s="31" t="s">
        <v>234</v>
      </c>
      <c r="HC41" s="31" t="s">
        <v>234</v>
      </c>
      <c r="HD41" s="31" t="s">
        <v>234</v>
      </c>
      <c r="HE41" s="31" t="s">
        <v>234</v>
      </c>
      <c r="HF41" s="31" t="s">
        <v>234</v>
      </c>
      <c r="HG41" s="31" t="s">
        <v>234</v>
      </c>
      <c r="HH41" s="31" t="s">
        <v>234</v>
      </c>
      <c r="HI41" s="30">
        <v>52.5</v>
      </c>
      <c r="HJ41" s="30">
        <v>54</v>
      </c>
      <c r="HK41" s="30">
        <v>58.333333333333336</v>
      </c>
      <c r="HL41" s="30">
        <v>45</v>
      </c>
      <c r="HM41" s="30">
        <v>48.333333333333336</v>
      </c>
      <c r="HN41" s="30">
        <v>46.25</v>
      </c>
      <c r="HO41" s="31" t="s">
        <v>235</v>
      </c>
      <c r="HP41" s="30">
        <v>2</v>
      </c>
      <c r="HQ41" s="30">
        <v>50</v>
      </c>
      <c r="HR41" s="30">
        <v>100</v>
      </c>
      <c r="HS41" s="31" t="s">
        <v>422</v>
      </c>
      <c r="HT41" s="31" t="s">
        <v>423</v>
      </c>
      <c r="HU41" s="56"/>
      <c r="HV41" s="50"/>
      <c r="HW41" s="30">
        <v>-44152</v>
      </c>
      <c r="HX41" s="30"/>
      <c r="HY41" s="30"/>
      <c r="HZ41" s="30"/>
      <c r="IA41" s="30"/>
      <c r="IB41" s="30"/>
      <c r="IC41" s="30"/>
      <c r="ID41" s="30"/>
      <c r="IE41" s="30">
        <v>0</v>
      </c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>
        <v>0</v>
      </c>
      <c r="IV41" s="30" t="e">
        <v>#DIV/0!</v>
      </c>
      <c r="IW41" s="30" t="e">
        <v>#DIV/0!</v>
      </c>
      <c r="IX41" s="30" t="e">
        <v>#DIV/0!</v>
      </c>
      <c r="IY41" s="30" t="e">
        <v>#DIV/0!</v>
      </c>
      <c r="IZ41" s="30" t="e">
        <v>#DIV/0!</v>
      </c>
      <c r="JA41" s="30" t="e">
        <v>#DIV/0!</v>
      </c>
      <c r="JB41" s="30" t="e">
        <v>#DIV/0!</v>
      </c>
      <c r="JC41" s="30"/>
      <c r="JD41" s="30"/>
      <c r="JE41" s="30"/>
      <c r="JF41" s="30"/>
      <c r="JG41" s="30"/>
      <c r="JH41" s="30"/>
      <c r="JI41" s="30"/>
      <c r="JJ41" s="30"/>
      <c r="JK41" s="30">
        <v>0</v>
      </c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>
        <v>0</v>
      </c>
      <c r="KB41" s="30" t="e">
        <v>#DIV/0!</v>
      </c>
      <c r="KC41" s="30" t="e">
        <v>#DIV/0!</v>
      </c>
      <c r="KD41" s="30" t="e">
        <v>#DIV/0!</v>
      </c>
      <c r="KE41" s="30" t="e">
        <v>#DIV/0!</v>
      </c>
      <c r="KF41" s="30" t="e">
        <v>#DIV/0!</v>
      </c>
      <c r="KG41" s="30" t="e">
        <v>#DIV/0!</v>
      </c>
      <c r="KH41" s="30" t="e">
        <v>#DIV/0!</v>
      </c>
      <c r="KI41" s="30"/>
      <c r="KJ41" s="30"/>
      <c r="KK41" s="30"/>
      <c r="KL41" s="30"/>
      <c r="KM41" s="30"/>
    </row>
    <row r="42" spans="1:299" s="1" customFormat="1" ht="99">
      <c r="A42" s="8" t="s">
        <v>632</v>
      </c>
      <c r="B42" s="1">
        <v>69</v>
      </c>
      <c r="C42" s="20">
        <v>60</v>
      </c>
      <c r="D42" s="1">
        <v>2</v>
      </c>
      <c r="E42" s="1" t="s">
        <v>590</v>
      </c>
      <c r="F42" s="1">
        <v>21099</v>
      </c>
      <c r="G42" s="12" t="s">
        <v>83</v>
      </c>
      <c r="H42" s="12" t="s">
        <v>82</v>
      </c>
      <c r="I42" s="12" t="s">
        <v>22</v>
      </c>
      <c r="J42" s="10">
        <v>44764</v>
      </c>
      <c r="K42" s="30" t="s">
        <v>661</v>
      </c>
      <c r="L42" s="30" t="s">
        <v>696</v>
      </c>
      <c r="M42" s="14" t="s">
        <v>191</v>
      </c>
      <c r="N42" s="14" t="s">
        <v>190</v>
      </c>
      <c r="T42" s="35">
        <v>44762</v>
      </c>
      <c r="U42" s="30">
        <v>-2</v>
      </c>
      <c r="V42" s="30" t="s">
        <v>575</v>
      </c>
      <c r="W42" s="30">
        <v>30</v>
      </c>
      <c r="X42" s="30">
        <v>50</v>
      </c>
      <c r="Y42" s="30">
        <v>45</v>
      </c>
      <c r="Z42" s="30">
        <v>65</v>
      </c>
      <c r="AA42" s="30">
        <v>55</v>
      </c>
      <c r="AB42" s="30">
        <v>50</v>
      </c>
      <c r="AC42" s="33">
        <v>51.25</v>
      </c>
      <c r="AD42" s="30">
        <v>55</v>
      </c>
      <c r="AE42" s="30">
        <v>65</v>
      </c>
      <c r="AF42" s="30">
        <v>65</v>
      </c>
      <c r="AG42" s="30">
        <v>75</v>
      </c>
      <c r="AH42" s="30">
        <v>75</v>
      </c>
      <c r="AI42" s="30">
        <v>75</v>
      </c>
      <c r="AJ42" s="30">
        <v>90</v>
      </c>
      <c r="AK42" s="30">
        <v>95</v>
      </c>
      <c r="AL42" s="31" t="s">
        <v>234</v>
      </c>
      <c r="AM42" s="31" t="s">
        <v>234</v>
      </c>
      <c r="AN42" s="31" t="s">
        <v>234</v>
      </c>
      <c r="AO42" s="31" t="s">
        <v>234</v>
      </c>
      <c r="AP42" s="31" t="s">
        <v>234</v>
      </c>
      <c r="AQ42" s="31" t="s">
        <v>234</v>
      </c>
      <c r="AR42" s="31" t="s">
        <v>234</v>
      </c>
      <c r="AS42" s="33">
        <v>72.5</v>
      </c>
      <c r="AT42" s="33">
        <v>80</v>
      </c>
      <c r="AU42" s="33">
        <v>61.666666666666664</v>
      </c>
      <c r="AV42" s="33">
        <v>75</v>
      </c>
      <c r="AW42" s="33">
        <v>86.666666666666671</v>
      </c>
      <c r="AX42" s="33">
        <v>72.5</v>
      </c>
      <c r="AY42" s="34">
        <v>3</v>
      </c>
      <c r="AZ42" s="33">
        <v>3</v>
      </c>
      <c r="BA42" s="30">
        <v>75</v>
      </c>
      <c r="BB42" s="30">
        <v>92</v>
      </c>
      <c r="BC42" s="30">
        <v>25</v>
      </c>
      <c r="BD42" s="30">
        <v>45</v>
      </c>
      <c r="BE42" s="30">
        <v>50</v>
      </c>
      <c r="BF42" s="30">
        <v>75</v>
      </c>
      <c r="BG42" s="30">
        <v>70</v>
      </c>
      <c r="BH42" s="30">
        <v>65</v>
      </c>
      <c r="BI42" s="33">
        <v>55</v>
      </c>
      <c r="BJ42" s="30">
        <v>55</v>
      </c>
      <c r="BK42" s="30">
        <v>70</v>
      </c>
      <c r="BL42" s="30">
        <v>80</v>
      </c>
      <c r="BM42" s="30">
        <v>105</v>
      </c>
      <c r="BN42" s="30">
        <v>95</v>
      </c>
      <c r="BO42" s="30">
        <v>105</v>
      </c>
      <c r="BP42" s="30">
        <v>110</v>
      </c>
      <c r="BQ42" s="30">
        <v>100</v>
      </c>
      <c r="BR42" s="31" t="s">
        <v>234</v>
      </c>
      <c r="BS42" s="31" t="s">
        <v>234</v>
      </c>
      <c r="BT42" s="31" t="s">
        <v>234</v>
      </c>
      <c r="BU42" s="31" t="s">
        <v>234</v>
      </c>
      <c r="BV42" s="31" t="s">
        <v>234</v>
      </c>
      <c r="BW42" s="31" t="s">
        <v>234</v>
      </c>
      <c r="BX42" s="31" t="s">
        <v>234</v>
      </c>
      <c r="BY42" s="33">
        <v>96.25</v>
      </c>
      <c r="BZ42" s="33">
        <v>98</v>
      </c>
      <c r="CA42" s="33">
        <v>68.333333333333329</v>
      </c>
      <c r="CB42" s="33">
        <v>100</v>
      </c>
      <c r="CC42" s="33">
        <v>105</v>
      </c>
      <c r="CD42" s="33">
        <v>96.25</v>
      </c>
      <c r="CE42" s="30">
        <v>3</v>
      </c>
      <c r="CF42" s="33">
        <v>4</v>
      </c>
      <c r="CG42" s="30">
        <v>95</v>
      </c>
      <c r="CH42" s="30">
        <v>52</v>
      </c>
      <c r="CI42" s="30" t="s">
        <v>424</v>
      </c>
      <c r="CJ42" s="31" t="s">
        <v>425</v>
      </c>
      <c r="CK42" s="30"/>
      <c r="CL42" s="45"/>
      <c r="CM42" s="30">
        <v>-44764</v>
      </c>
      <c r="CN42" s="30"/>
      <c r="CO42" s="30"/>
      <c r="CP42" s="30"/>
      <c r="CQ42" s="30"/>
      <c r="CR42" s="30"/>
      <c r="CS42" s="30"/>
      <c r="CT42" s="30"/>
      <c r="CU42" s="33">
        <v>0</v>
      </c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3">
        <v>0</v>
      </c>
      <c r="DL42" s="33" t="e">
        <v>#DIV/0!</v>
      </c>
      <c r="DM42" s="33" t="e">
        <v>#DIV/0!</v>
      </c>
      <c r="DN42" s="33" t="e">
        <v>#DIV/0!</v>
      </c>
      <c r="DO42" s="33" t="e">
        <v>#DIV/0!</v>
      </c>
      <c r="DP42" s="33" t="e">
        <v>#DIV/0!</v>
      </c>
      <c r="DQ42" s="30" t="e">
        <v>#DIV/0!</v>
      </c>
      <c r="DR42" s="33" t="e">
        <v>#DIV/0!</v>
      </c>
      <c r="DS42" s="30"/>
      <c r="DT42" s="30"/>
      <c r="DU42" s="30"/>
      <c r="DV42" s="30"/>
      <c r="DW42" s="30"/>
      <c r="DX42" s="30"/>
      <c r="DY42" s="30"/>
      <c r="DZ42" s="30"/>
      <c r="EA42" s="33">
        <v>0</v>
      </c>
      <c r="EB42" s="30"/>
      <c r="EC42" s="30"/>
      <c r="ED42" s="30"/>
      <c r="EE42" s="30"/>
      <c r="EF42" s="30"/>
      <c r="EG42" s="30"/>
      <c r="EH42" s="30"/>
      <c r="EI42" s="30"/>
      <c r="EJ42" s="30" t="s">
        <v>277</v>
      </c>
      <c r="EK42" s="30" t="s">
        <v>277</v>
      </c>
      <c r="EL42" s="30" t="s">
        <v>277</v>
      </c>
      <c r="EM42" s="30" t="s">
        <v>277</v>
      </c>
      <c r="EN42" s="30" t="s">
        <v>277</v>
      </c>
      <c r="EO42" s="30" t="s">
        <v>277</v>
      </c>
      <c r="EP42" s="30" t="s">
        <v>277</v>
      </c>
      <c r="EQ42" s="33">
        <v>0</v>
      </c>
      <c r="ER42" s="33" t="e">
        <v>#DIV/0!</v>
      </c>
      <c r="ES42" s="33" t="e">
        <v>#DIV/0!</v>
      </c>
      <c r="ET42" s="33" t="e">
        <v>#DIV/0!</v>
      </c>
      <c r="EU42" s="33" t="e">
        <v>#DIV/0!</v>
      </c>
      <c r="EV42" s="33" t="e">
        <v>#DIV/0!</v>
      </c>
      <c r="EW42" s="30" t="e">
        <v>#DIV/0!</v>
      </c>
      <c r="EX42" s="33" t="e">
        <v>#DIV/0!</v>
      </c>
      <c r="EY42" s="30"/>
      <c r="EZ42" s="30"/>
      <c r="FA42" s="30"/>
      <c r="FB42" s="30"/>
      <c r="FC42" s="48"/>
      <c r="FD42" s="63">
        <v>45042</v>
      </c>
      <c r="FE42" s="30">
        <v>278</v>
      </c>
      <c r="FF42" s="30"/>
      <c r="FG42" s="30">
        <v>15</v>
      </c>
      <c r="FH42" s="30">
        <v>45</v>
      </c>
      <c r="FI42" s="30">
        <v>70</v>
      </c>
      <c r="FJ42" s="30">
        <v>70</v>
      </c>
      <c r="FK42" s="30">
        <v>55</v>
      </c>
      <c r="FL42" s="30">
        <v>60</v>
      </c>
      <c r="FM42" s="33">
        <v>63.75</v>
      </c>
      <c r="FN42" s="30">
        <v>65</v>
      </c>
      <c r="FO42" s="30">
        <v>70</v>
      </c>
      <c r="FP42" s="30">
        <v>70</v>
      </c>
      <c r="FQ42" s="30">
        <v>85</v>
      </c>
      <c r="FR42" s="30">
        <v>85</v>
      </c>
      <c r="FS42" s="30">
        <v>75</v>
      </c>
      <c r="FT42" s="30">
        <v>90</v>
      </c>
      <c r="FU42" s="30">
        <v>90</v>
      </c>
      <c r="FV42" s="30"/>
      <c r="FW42" s="30"/>
      <c r="FX42" s="30"/>
      <c r="FY42" s="30"/>
      <c r="FZ42" s="30"/>
      <c r="GA42" s="30"/>
      <c r="GB42" s="30"/>
      <c r="GC42" s="33">
        <v>81.25</v>
      </c>
      <c r="GD42" s="33">
        <v>84</v>
      </c>
      <c r="GE42" s="33">
        <v>68.333333333333329</v>
      </c>
      <c r="GF42" s="33">
        <v>85</v>
      </c>
      <c r="GG42" s="33">
        <v>85</v>
      </c>
      <c r="GH42" s="33">
        <v>78.75</v>
      </c>
      <c r="GI42" s="30">
        <v>3</v>
      </c>
      <c r="GJ42" s="33">
        <v>3</v>
      </c>
      <c r="GK42" s="30">
        <v>80</v>
      </c>
      <c r="GL42" s="30">
        <v>56</v>
      </c>
      <c r="GM42" s="30">
        <v>30</v>
      </c>
      <c r="GN42" s="30">
        <v>55</v>
      </c>
      <c r="GO42" s="30">
        <v>60</v>
      </c>
      <c r="GP42" s="30">
        <v>80</v>
      </c>
      <c r="GQ42" s="30">
        <v>80</v>
      </c>
      <c r="GR42" s="30">
        <v>85</v>
      </c>
      <c r="GS42" s="30">
        <v>63.75</v>
      </c>
      <c r="GT42" s="30">
        <v>80</v>
      </c>
      <c r="GU42" s="30">
        <v>85</v>
      </c>
      <c r="GV42" s="30">
        <v>85</v>
      </c>
      <c r="GW42" s="30">
        <v>105</v>
      </c>
      <c r="GX42" s="30">
        <v>100</v>
      </c>
      <c r="GY42" s="30">
        <v>105</v>
      </c>
      <c r="GZ42" s="30">
        <v>115</v>
      </c>
      <c r="HA42" s="42">
        <v>105</v>
      </c>
      <c r="HB42" s="30"/>
      <c r="HC42" s="30"/>
      <c r="HD42" s="30"/>
      <c r="HE42" s="30"/>
      <c r="HF42" s="30"/>
      <c r="HG42" s="30"/>
      <c r="HH42" s="30"/>
      <c r="HI42" s="30">
        <v>98.75</v>
      </c>
      <c r="HJ42" s="30">
        <v>102</v>
      </c>
      <c r="HK42" s="30">
        <v>83.333333333333329</v>
      </c>
      <c r="HL42" s="30">
        <v>102.5</v>
      </c>
      <c r="HM42" s="30">
        <v>108.33333333333333</v>
      </c>
      <c r="HN42" s="30">
        <v>98.75</v>
      </c>
      <c r="HO42" s="30">
        <v>3</v>
      </c>
      <c r="HP42" s="30">
        <v>4</v>
      </c>
      <c r="HQ42" s="30">
        <v>95</v>
      </c>
      <c r="HR42" s="30">
        <v>25</v>
      </c>
      <c r="HS42" s="30"/>
      <c r="HT42" s="30"/>
      <c r="HU42" s="30" t="s">
        <v>426</v>
      </c>
      <c r="HV42" s="35">
        <v>45132</v>
      </c>
      <c r="HW42" s="30">
        <v>368</v>
      </c>
      <c r="HX42" s="30"/>
      <c r="HY42" s="30">
        <v>20</v>
      </c>
      <c r="HZ42" s="30">
        <v>40</v>
      </c>
      <c r="IA42" s="30">
        <v>45</v>
      </c>
      <c r="IB42" s="30">
        <v>75</v>
      </c>
      <c r="IC42" s="30">
        <v>60</v>
      </c>
      <c r="ID42" s="30">
        <v>55</v>
      </c>
      <c r="IE42" s="30">
        <v>51.25</v>
      </c>
      <c r="IF42" s="30">
        <v>65</v>
      </c>
      <c r="IG42" s="30">
        <v>70</v>
      </c>
      <c r="IH42" s="30">
        <v>75</v>
      </c>
      <c r="II42" s="30">
        <v>90</v>
      </c>
      <c r="IJ42" s="30">
        <v>90</v>
      </c>
      <c r="IK42" s="30">
        <v>85</v>
      </c>
      <c r="IL42" s="30">
        <v>90</v>
      </c>
      <c r="IM42" s="30">
        <v>100</v>
      </c>
      <c r="IN42" s="30"/>
      <c r="IO42" s="30"/>
      <c r="IP42" s="30"/>
      <c r="IQ42" s="30"/>
      <c r="IR42" s="30"/>
      <c r="IS42" s="30"/>
      <c r="IT42" s="30"/>
      <c r="IU42" s="30">
        <v>86.25</v>
      </c>
      <c r="IV42" s="30">
        <v>89</v>
      </c>
      <c r="IW42" s="30">
        <v>70</v>
      </c>
      <c r="IX42" s="30">
        <v>90</v>
      </c>
      <c r="IY42" s="30">
        <v>91.666666666666671</v>
      </c>
      <c r="IZ42" s="30">
        <v>85</v>
      </c>
      <c r="JA42" s="30">
        <v>3</v>
      </c>
      <c r="JB42" s="30">
        <v>4</v>
      </c>
      <c r="JC42" s="30">
        <v>70</v>
      </c>
      <c r="JD42" s="30">
        <v>80</v>
      </c>
      <c r="JE42" s="30">
        <v>15</v>
      </c>
      <c r="JF42" s="30">
        <v>45</v>
      </c>
      <c r="JG42" s="30">
        <v>50</v>
      </c>
      <c r="JH42" s="30">
        <v>70</v>
      </c>
      <c r="JI42" s="30">
        <v>70</v>
      </c>
      <c r="JJ42" s="30">
        <v>70</v>
      </c>
      <c r="JK42" s="30">
        <v>53.75</v>
      </c>
      <c r="JL42" s="30">
        <v>70</v>
      </c>
      <c r="JM42" s="30">
        <v>80</v>
      </c>
      <c r="JN42" s="30">
        <v>90</v>
      </c>
      <c r="JO42" s="30">
        <v>105</v>
      </c>
      <c r="JP42" s="30">
        <v>105</v>
      </c>
      <c r="JQ42" s="30">
        <v>110</v>
      </c>
      <c r="JR42" s="30">
        <v>105</v>
      </c>
      <c r="JS42" s="42">
        <v>100</v>
      </c>
      <c r="JT42" s="30" t="s">
        <v>277</v>
      </c>
      <c r="JU42" s="30" t="s">
        <v>277</v>
      </c>
      <c r="JV42" s="30" t="s">
        <v>277</v>
      </c>
      <c r="JW42" s="30" t="s">
        <v>277</v>
      </c>
      <c r="JX42" s="30" t="s">
        <v>277</v>
      </c>
      <c r="JY42" s="30" t="s">
        <v>277</v>
      </c>
      <c r="JZ42" s="30" t="s">
        <v>277</v>
      </c>
      <c r="KA42" s="30">
        <v>101.25</v>
      </c>
      <c r="KB42" s="30">
        <v>101</v>
      </c>
      <c r="KC42" s="30">
        <v>80</v>
      </c>
      <c r="KD42" s="30">
        <v>105</v>
      </c>
      <c r="KE42" s="30">
        <v>105</v>
      </c>
      <c r="KF42" s="30">
        <v>102.5</v>
      </c>
      <c r="KG42" s="30">
        <v>5</v>
      </c>
      <c r="KH42" s="30">
        <v>5</v>
      </c>
      <c r="KI42" s="30">
        <v>90</v>
      </c>
      <c r="KJ42" s="30">
        <v>16</v>
      </c>
      <c r="KK42" s="30"/>
      <c r="KL42" s="30"/>
      <c r="KM42" s="30" t="s">
        <v>427</v>
      </c>
    </row>
    <row r="43" spans="1:299" s="1" customFormat="1" ht="33">
      <c r="A43" s="8" t="s">
        <v>633</v>
      </c>
      <c r="B43" s="1">
        <v>71</v>
      </c>
      <c r="C43" s="1">
        <v>70</v>
      </c>
      <c r="D43" s="1">
        <v>1</v>
      </c>
      <c r="E43" s="1" t="s">
        <v>592</v>
      </c>
      <c r="F43" s="73" t="s">
        <v>580</v>
      </c>
      <c r="G43" s="10">
        <v>43900</v>
      </c>
      <c r="H43" s="10">
        <v>43906</v>
      </c>
      <c r="I43" s="12" t="s">
        <v>22</v>
      </c>
      <c r="J43" s="10">
        <v>43915</v>
      </c>
      <c r="K43" s="33" t="s">
        <v>678</v>
      </c>
      <c r="L43" s="33" t="s">
        <v>697</v>
      </c>
      <c r="M43" s="14" t="s">
        <v>185</v>
      </c>
      <c r="P43" s="1" t="s">
        <v>594</v>
      </c>
      <c r="T43" s="54">
        <v>43906</v>
      </c>
      <c r="U43" s="30">
        <v>-9</v>
      </c>
      <c r="V43" s="33"/>
      <c r="W43" s="33">
        <v>60</v>
      </c>
      <c r="X43" s="33">
        <v>75</v>
      </c>
      <c r="Y43" s="33">
        <v>75</v>
      </c>
      <c r="Z43" s="55">
        <v>85</v>
      </c>
      <c r="AA43" s="55">
        <v>85</v>
      </c>
      <c r="AB43" s="55">
        <v>85</v>
      </c>
      <c r="AC43" s="33">
        <v>77.5</v>
      </c>
      <c r="AD43" s="42">
        <v>90</v>
      </c>
      <c r="AE43" s="42">
        <v>110</v>
      </c>
      <c r="AF43" s="42">
        <v>125</v>
      </c>
      <c r="AG43" s="42">
        <v>125</v>
      </c>
      <c r="AH43" s="33">
        <v>115</v>
      </c>
      <c r="AI43" s="55">
        <v>125</v>
      </c>
      <c r="AJ43" s="55">
        <v>125</v>
      </c>
      <c r="AK43" s="55">
        <v>115</v>
      </c>
      <c r="AL43" s="31" t="s">
        <v>234</v>
      </c>
      <c r="AM43" s="31" t="s">
        <v>234</v>
      </c>
      <c r="AN43" s="31" t="s">
        <v>234</v>
      </c>
      <c r="AO43" s="31" t="s">
        <v>234</v>
      </c>
      <c r="AP43" s="31" t="s">
        <v>234</v>
      </c>
      <c r="AQ43" s="31" t="s">
        <v>234</v>
      </c>
      <c r="AR43" s="31" t="s">
        <v>234</v>
      </c>
      <c r="AS43" s="33">
        <v>122.5</v>
      </c>
      <c r="AT43" s="33">
        <v>121</v>
      </c>
      <c r="AU43" s="33">
        <v>108.33333333333333</v>
      </c>
      <c r="AV43" s="33">
        <v>120</v>
      </c>
      <c r="AW43" s="33">
        <v>121.66666666666667</v>
      </c>
      <c r="AX43" s="33">
        <v>122.5</v>
      </c>
      <c r="AY43" s="34">
        <v>5</v>
      </c>
      <c r="AZ43" s="33">
        <v>5</v>
      </c>
      <c r="BA43" s="33">
        <v>100</v>
      </c>
      <c r="BB43" s="33">
        <v>0</v>
      </c>
      <c r="BC43" s="33">
        <v>50</v>
      </c>
      <c r="BD43" s="33">
        <v>45</v>
      </c>
      <c r="BE43" s="33">
        <v>40</v>
      </c>
      <c r="BF43" s="33">
        <v>65</v>
      </c>
      <c r="BG43" s="33">
        <v>80</v>
      </c>
      <c r="BH43" s="33">
        <v>80</v>
      </c>
      <c r="BI43" s="33">
        <v>47.5</v>
      </c>
      <c r="BJ43" s="30">
        <v>40</v>
      </c>
      <c r="BK43" s="30">
        <v>50</v>
      </c>
      <c r="BL43" s="30">
        <v>45</v>
      </c>
      <c r="BM43" s="30">
        <v>40</v>
      </c>
      <c r="BN43" s="30">
        <v>65</v>
      </c>
      <c r="BO43" s="30">
        <v>80</v>
      </c>
      <c r="BP43" s="30">
        <v>80</v>
      </c>
      <c r="BQ43" s="30">
        <v>75</v>
      </c>
      <c r="BR43" s="31" t="s">
        <v>234</v>
      </c>
      <c r="BS43" s="31" t="s">
        <v>234</v>
      </c>
      <c r="BT43" s="31" t="s">
        <v>234</v>
      </c>
      <c r="BU43" s="31" t="s">
        <v>234</v>
      </c>
      <c r="BV43" s="31" t="s">
        <v>234</v>
      </c>
      <c r="BW43" s="31" t="s">
        <v>234</v>
      </c>
      <c r="BX43" s="31" t="s">
        <v>234</v>
      </c>
      <c r="BY43" s="33">
        <v>47.5</v>
      </c>
      <c r="BZ43" s="33">
        <v>61</v>
      </c>
      <c r="CA43" s="33">
        <v>45</v>
      </c>
      <c r="CB43" s="33">
        <v>52.5</v>
      </c>
      <c r="CC43" s="33">
        <v>78.333333333333329</v>
      </c>
      <c r="CD43" s="33">
        <v>57.5</v>
      </c>
      <c r="CE43" s="33">
        <v>6</v>
      </c>
      <c r="CF43" s="33">
        <v>2</v>
      </c>
      <c r="CG43" s="33">
        <v>45</v>
      </c>
      <c r="CH43" s="33">
        <v>100</v>
      </c>
      <c r="CI43" s="31" t="s">
        <v>428</v>
      </c>
      <c r="CJ43" s="31" t="s">
        <v>429</v>
      </c>
      <c r="CK43" s="61"/>
      <c r="CL43" s="54">
        <v>44034</v>
      </c>
      <c r="CM43" s="30">
        <v>119</v>
      </c>
      <c r="CN43" s="33"/>
      <c r="CO43" s="55">
        <v>45</v>
      </c>
      <c r="CP43" s="55">
        <v>75</v>
      </c>
      <c r="CQ43" s="55">
        <v>85</v>
      </c>
      <c r="CR43" s="33">
        <v>90</v>
      </c>
      <c r="CS43" s="55">
        <v>90</v>
      </c>
      <c r="CT43" s="55">
        <v>90</v>
      </c>
      <c r="CU43" s="33">
        <v>83.75</v>
      </c>
      <c r="CV43" s="42">
        <v>90</v>
      </c>
      <c r="CW43" s="42">
        <v>110</v>
      </c>
      <c r="CX43" s="42">
        <v>125</v>
      </c>
      <c r="CY43" s="33">
        <v>120</v>
      </c>
      <c r="CZ43" s="55">
        <v>125</v>
      </c>
      <c r="DA43" s="33">
        <v>110</v>
      </c>
      <c r="DB43" s="55">
        <v>120</v>
      </c>
      <c r="DC43" s="55">
        <v>105</v>
      </c>
      <c r="DD43" s="31" t="s">
        <v>234</v>
      </c>
      <c r="DE43" s="31" t="s">
        <v>234</v>
      </c>
      <c r="DF43" s="31" t="s">
        <v>234</v>
      </c>
      <c r="DG43" s="31" t="s">
        <v>234</v>
      </c>
      <c r="DH43" s="31" t="s">
        <v>234</v>
      </c>
      <c r="DI43" s="31" t="s">
        <v>234</v>
      </c>
      <c r="DJ43" s="31" t="s">
        <v>234</v>
      </c>
      <c r="DK43" s="33">
        <v>122.5</v>
      </c>
      <c r="DL43" s="33">
        <v>119</v>
      </c>
      <c r="DM43" s="33">
        <v>108.33333333333333</v>
      </c>
      <c r="DN43" s="33">
        <v>122.5</v>
      </c>
      <c r="DO43" s="33">
        <v>111.66666666666667</v>
      </c>
      <c r="DP43" s="33">
        <v>120</v>
      </c>
      <c r="DQ43" s="33">
        <v>5</v>
      </c>
      <c r="DR43" s="33">
        <v>5</v>
      </c>
      <c r="DS43" s="33" t="s">
        <v>373</v>
      </c>
      <c r="DT43" s="33">
        <v>0</v>
      </c>
      <c r="DU43" s="33">
        <v>40</v>
      </c>
      <c r="DV43" s="33">
        <v>50</v>
      </c>
      <c r="DW43" s="33">
        <v>55</v>
      </c>
      <c r="DX43" s="33">
        <v>70</v>
      </c>
      <c r="DY43" s="33">
        <v>80</v>
      </c>
      <c r="DZ43" s="33">
        <v>85</v>
      </c>
      <c r="EA43" s="33">
        <v>57.5</v>
      </c>
      <c r="EB43" s="30">
        <v>45</v>
      </c>
      <c r="EC43" s="30">
        <v>50</v>
      </c>
      <c r="ED43" s="30">
        <v>50</v>
      </c>
      <c r="EE43" s="30">
        <v>55</v>
      </c>
      <c r="EF43" s="30">
        <v>70</v>
      </c>
      <c r="EG43" s="30">
        <v>80</v>
      </c>
      <c r="EH43" s="30">
        <v>85</v>
      </c>
      <c r="EI43" s="30">
        <v>85</v>
      </c>
      <c r="EJ43" s="31" t="s">
        <v>234</v>
      </c>
      <c r="EK43" s="31" t="s">
        <v>234</v>
      </c>
      <c r="EL43" s="31" t="s">
        <v>234</v>
      </c>
      <c r="EM43" s="31" t="s">
        <v>234</v>
      </c>
      <c r="EN43" s="31" t="s">
        <v>234</v>
      </c>
      <c r="EO43" s="31" t="s">
        <v>234</v>
      </c>
      <c r="EP43" s="31" t="s">
        <v>234</v>
      </c>
      <c r="EQ43" s="33">
        <v>57.5</v>
      </c>
      <c r="ER43" s="33">
        <v>69</v>
      </c>
      <c r="ES43" s="33">
        <v>48.333333333333336</v>
      </c>
      <c r="ET43" s="33">
        <v>62.5</v>
      </c>
      <c r="EU43" s="33">
        <v>83.333333333333329</v>
      </c>
      <c r="EV43" s="33">
        <v>63.75</v>
      </c>
      <c r="EW43" s="33">
        <v>3</v>
      </c>
      <c r="EX43" s="33">
        <v>3</v>
      </c>
      <c r="EY43" s="33">
        <v>75</v>
      </c>
      <c r="EZ43" s="33">
        <v>60</v>
      </c>
      <c r="FA43" s="33"/>
      <c r="FB43" s="33"/>
      <c r="FC43" s="61" t="s">
        <v>430</v>
      </c>
      <c r="FD43" s="51"/>
      <c r="FE43" s="30">
        <v>-43915</v>
      </c>
      <c r="FF43" s="33"/>
      <c r="FG43" s="33"/>
      <c r="FH43" s="33"/>
      <c r="FI43" s="33"/>
      <c r="FJ43" s="33"/>
      <c r="FK43" s="33"/>
      <c r="FL43" s="33"/>
      <c r="FM43" s="33">
        <v>0</v>
      </c>
      <c r="FN43" s="33"/>
      <c r="FO43" s="33"/>
      <c r="FP43" s="33"/>
      <c r="FQ43" s="33"/>
      <c r="FR43" s="33"/>
      <c r="FS43" s="33"/>
      <c r="FT43" s="33"/>
      <c r="FU43" s="33"/>
      <c r="FV43" s="31" t="s">
        <v>234</v>
      </c>
      <c r="FW43" s="31" t="s">
        <v>234</v>
      </c>
      <c r="FX43" s="31" t="s">
        <v>234</v>
      </c>
      <c r="FY43" s="31" t="s">
        <v>234</v>
      </c>
      <c r="FZ43" s="31" t="s">
        <v>234</v>
      </c>
      <c r="GA43" s="31" t="s">
        <v>234</v>
      </c>
      <c r="GB43" s="31" t="s">
        <v>234</v>
      </c>
      <c r="GC43" s="33">
        <v>0</v>
      </c>
      <c r="GD43" s="33" t="e">
        <v>#DIV/0!</v>
      </c>
      <c r="GE43" s="33" t="e">
        <v>#DIV/0!</v>
      </c>
      <c r="GF43" s="33" t="e">
        <v>#DIV/0!</v>
      </c>
      <c r="GG43" s="33" t="e">
        <v>#DIV/0!</v>
      </c>
      <c r="GH43" s="33" t="e">
        <v>#DIV/0!</v>
      </c>
      <c r="GI43" s="33" t="e">
        <v>#DIV/0!</v>
      </c>
      <c r="GJ43" s="33" t="e">
        <v>#DIV/0!</v>
      </c>
      <c r="GK43" s="33"/>
      <c r="GL43" s="33"/>
      <c r="GM43" s="33"/>
      <c r="GN43" s="33"/>
      <c r="GO43" s="33"/>
      <c r="GP43" s="33"/>
      <c r="GQ43" s="33"/>
      <c r="GR43" s="33"/>
      <c r="GS43" s="30">
        <v>0</v>
      </c>
      <c r="GT43" s="33"/>
      <c r="GU43" s="33"/>
      <c r="GV43" s="33"/>
      <c r="GW43" s="33"/>
      <c r="GX43" s="33"/>
      <c r="GY43" s="33"/>
      <c r="GZ43" s="33"/>
      <c r="HA43" s="33"/>
      <c r="HB43" s="31" t="s">
        <v>234</v>
      </c>
      <c r="HC43" s="31" t="s">
        <v>234</v>
      </c>
      <c r="HD43" s="31" t="s">
        <v>234</v>
      </c>
      <c r="HE43" s="31" t="s">
        <v>234</v>
      </c>
      <c r="HF43" s="31" t="s">
        <v>234</v>
      </c>
      <c r="HG43" s="31" t="s">
        <v>234</v>
      </c>
      <c r="HH43" s="31" t="s">
        <v>234</v>
      </c>
      <c r="HI43" s="30">
        <v>0</v>
      </c>
      <c r="HJ43" s="30" t="e">
        <v>#DIV/0!</v>
      </c>
      <c r="HK43" s="30" t="e">
        <v>#DIV/0!</v>
      </c>
      <c r="HL43" s="30" t="e">
        <v>#DIV/0!</v>
      </c>
      <c r="HM43" s="30" t="e">
        <v>#DIV/0!</v>
      </c>
      <c r="HN43" s="30" t="e">
        <v>#DIV/0!</v>
      </c>
      <c r="HO43" s="33" t="e">
        <v>#DIV/0!</v>
      </c>
      <c r="HP43" s="30" t="e">
        <v>#DIV/0!</v>
      </c>
      <c r="HQ43" s="33"/>
      <c r="HR43" s="33"/>
      <c r="HS43" s="33"/>
      <c r="HT43" s="33"/>
      <c r="HU43" s="61"/>
      <c r="HV43" s="51"/>
      <c r="HW43" s="30">
        <v>-43915</v>
      </c>
      <c r="HX43" s="33"/>
      <c r="HY43" s="33"/>
      <c r="HZ43" s="33"/>
      <c r="IA43" s="33"/>
      <c r="IB43" s="33"/>
      <c r="IC43" s="33"/>
      <c r="ID43" s="33"/>
      <c r="IE43" s="30">
        <v>0</v>
      </c>
      <c r="IF43" s="33"/>
      <c r="IG43" s="33"/>
      <c r="IH43" s="33"/>
      <c r="II43" s="33"/>
      <c r="IJ43" s="33"/>
      <c r="IK43" s="33"/>
      <c r="IL43" s="33"/>
      <c r="IM43" s="33"/>
      <c r="IN43" s="31" t="s">
        <v>234</v>
      </c>
      <c r="IO43" s="31" t="s">
        <v>234</v>
      </c>
      <c r="IP43" s="31" t="s">
        <v>234</v>
      </c>
      <c r="IQ43" s="31" t="s">
        <v>234</v>
      </c>
      <c r="IR43" s="31" t="s">
        <v>234</v>
      </c>
      <c r="IS43" s="31" t="s">
        <v>234</v>
      </c>
      <c r="IT43" s="31" t="s">
        <v>234</v>
      </c>
      <c r="IU43" s="30">
        <v>0</v>
      </c>
      <c r="IV43" s="30" t="e">
        <v>#DIV/0!</v>
      </c>
      <c r="IW43" s="30" t="e">
        <v>#DIV/0!</v>
      </c>
      <c r="IX43" s="30" t="e">
        <v>#DIV/0!</v>
      </c>
      <c r="IY43" s="30" t="e">
        <v>#DIV/0!</v>
      </c>
      <c r="IZ43" s="30" t="e">
        <v>#DIV/0!</v>
      </c>
      <c r="JA43" s="33" t="e">
        <v>#DIV/0!</v>
      </c>
      <c r="JB43" s="30" t="e">
        <v>#DIV/0!</v>
      </c>
      <c r="JC43" s="33"/>
      <c r="JD43" s="33"/>
      <c r="JE43" s="33"/>
      <c r="JF43" s="33"/>
      <c r="JG43" s="33"/>
      <c r="JH43" s="33"/>
      <c r="JI43" s="33"/>
      <c r="JJ43" s="33"/>
      <c r="JK43" s="30">
        <v>0</v>
      </c>
      <c r="JL43" s="33"/>
      <c r="JM43" s="33"/>
      <c r="JN43" s="33"/>
      <c r="JO43" s="33"/>
      <c r="JP43" s="33"/>
      <c r="JQ43" s="33"/>
      <c r="JR43" s="33"/>
      <c r="JS43" s="33"/>
      <c r="JT43" s="31" t="s">
        <v>234</v>
      </c>
      <c r="JU43" s="31" t="s">
        <v>234</v>
      </c>
      <c r="JV43" s="31" t="s">
        <v>234</v>
      </c>
      <c r="JW43" s="31" t="s">
        <v>234</v>
      </c>
      <c r="JX43" s="31" t="s">
        <v>234</v>
      </c>
      <c r="JY43" s="31" t="s">
        <v>234</v>
      </c>
      <c r="JZ43" s="31" t="s">
        <v>234</v>
      </c>
      <c r="KA43" s="30">
        <v>0</v>
      </c>
      <c r="KB43" s="30" t="e">
        <v>#DIV/0!</v>
      </c>
      <c r="KC43" s="30" t="e">
        <v>#DIV/0!</v>
      </c>
      <c r="KD43" s="30" t="e">
        <v>#DIV/0!</v>
      </c>
      <c r="KE43" s="30" t="e">
        <v>#DIV/0!</v>
      </c>
      <c r="KF43" s="30" t="e">
        <v>#DIV/0!</v>
      </c>
      <c r="KG43" s="33" t="e">
        <v>#DIV/0!</v>
      </c>
      <c r="KH43" s="30" t="e">
        <v>#DIV/0!</v>
      </c>
      <c r="KI43" s="33"/>
      <c r="KJ43" s="33"/>
      <c r="KK43" s="33"/>
      <c r="KL43" s="33"/>
      <c r="KM43" s="33"/>
    </row>
    <row r="44" spans="1:299" s="1" customFormat="1" ht="27">
      <c r="A44" s="8" t="s">
        <v>634</v>
      </c>
      <c r="B44" s="1">
        <v>69</v>
      </c>
      <c r="C44" s="20">
        <v>60</v>
      </c>
      <c r="D44" s="1">
        <v>2</v>
      </c>
      <c r="E44" s="1" t="s">
        <v>590</v>
      </c>
      <c r="F44" s="1">
        <v>21105</v>
      </c>
      <c r="G44" s="1" t="s">
        <v>28</v>
      </c>
      <c r="H44" s="1" t="s">
        <v>29</v>
      </c>
      <c r="I44" s="1" t="s">
        <v>22</v>
      </c>
      <c r="J44" s="10">
        <v>45139</v>
      </c>
      <c r="K44" s="30" t="s">
        <v>661</v>
      </c>
      <c r="L44" s="76" t="s">
        <v>698</v>
      </c>
      <c r="M44" s="1" t="s">
        <v>142</v>
      </c>
      <c r="N44" s="1" t="s">
        <v>95</v>
      </c>
      <c r="O44" s="1">
        <v>0</v>
      </c>
      <c r="T44" s="32">
        <v>45138</v>
      </c>
      <c r="U44" s="30">
        <v>-1</v>
      </c>
      <c r="V44" s="30" t="s">
        <v>571</v>
      </c>
      <c r="W44" s="30" t="s">
        <v>234</v>
      </c>
      <c r="X44" s="30" t="s">
        <v>234</v>
      </c>
      <c r="Y44" s="30" t="s">
        <v>234</v>
      </c>
      <c r="Z44" s="30" t="s">
        <v>234</v>
      </c>
      <c r="AA44" s="30" t="s">
        <v>234</v>
      </c>
      <c r="AB44" s="30" t="s">
        <v>234</v>
      </c>
      <c r="AC44" s="33" t="e">
        <v>#VALUE!</v>
      </c>
      <c r="AD44" s="30">
        <v>10</v>
      </c>
      <c r="AE44" s="30">
        <v>5</v>
      </c>
      <c r="AF44" s="30">
        <v>10</v>
      </c>
      <c r="AG44" s="30">
        <v>15</v>
      </c>
      <c r="AH44" s="30">
        <v>15</v>
      </c>
      <c r="AI44" s="30">
        <v>20</v>
      </c>
      <c r="AJ44" s="30">
        <v>20</v>
      </c>
      <c r="AK44" s="30">
        <v>45</v>
      </c>
      <c r="AL44" s="31" t="s">
        <v>234</v>
      </c>
      <c r="AM44" s="31" t="s">
        <v>234</v>
      </c>
      <c r="AN44" s="31" t="s">
        <v>234</v>
      </c>
      <c r="AO44" s="31" t="s">
        <v>234</v>
      </c>
      <c r="AP44" s="31" t="s">
        <v>234</v>
      </c>
      <c r="AQ44" s="31" t="s">
        <v>234</v>
      </c>
      <c r="AR44" s="31" t="s">
        <v>234</v>
      </c>
      <c r="AS44" s="33">
        <v>13.75</v>
      </c>
      <c r="AT44" s="33">
        <v>21</v>
      </c>
      <c r="AU44" s="33">
        <v>8.3333333333333339</v>
      </c>
      <c r="AV44" s="33">
        <v>15</v>
      </c>
      <c r="AW44" s="33">
        <v>28.333333333333332</v>
      </c>
      <c r="AX44" s="33">
        <v>15</v>
      </c>
      <c r="AY44" s="34">
        <v>3</v>
      </c>
      <c r="AZ44" s="33">
        <v>0</v>
      </c>
      <c r="BA44" s="30">
        <v>15</v>
      </c>
      <c r="BB44" s="30">
        <v>100</v>
      </c>
      <c r="BC44" s="30">
        <v>25</v>
      </c>
      <c r="BD44" s="30">
        <v>50</v>
      </c>
      <c r="BE44" s="30">
        <v>55</v>
      </c>
      <c r="BF44" s="30">
        <v>65</v>
      </c>
      <c r="BG44" s="30">
        <v>60</v>
      </c>
      <c r="BH44" s="30">
        <v>50</v>
      </c>
      <c r="BI44" s="33">
        <v>56.25</v>
      </c>
      <c r="BJ44" s="30">
        <v>60</v>
      </c>
      <c r="BK44" s="30">
        <v>75</v>
      </c>
      <c r="BL44" s="30">
        <v>80</v>
      </c>
      <c r="BM44" s="30">
        <v>90</v>
      </c>
      <c r="BN44" s="30">
        <v>100</v>
      </c>
      <c r="BO44" s="30">
        <v>95</v>
      </c>
      <c r="BP44" s="30">
        <v>95</v>
      </c>
      <c r="BQ44" s="42">
        <v>110</v>
      </c>
      <c r="BR44" s="31" t="s">
        <v>234</v>
      </c>
      <c r="BS44" s="31" t="s">
        <v>234</v>
      </c>
      <c r="BT44" s="31" t="s">
        <v>234</v>
      </c>
      <c r="BU44" s="31" t="s">
        <v>234</v>
      </c>
      <c r="BV44" s="31" t="s">
        <v>234</v>
      </c>
      <c r="BW44" s="31" t="s">
        <v>234</v>
      </c>
      <c r="BX44" s="31" t="s">
        <v>234</v>
      </c>
      <c r="BY44" s="33">
        <v>90</v>
      </c>
      <c r="BZ44" s="33">
        <v>95</v>
      </c>
      <c r="CA44" s="33">
        <v>71.666666666666671</v>
      </c>
      <c r="CB44" s="33">
        <v>95</v>
      </c>
      <c r="CC44" s="33">
        <v>100</v>
      </c>
      <c r="CD44" s="33">
        <v>91.25</v>
      </c>
      <c r="CE44" s="30">
        <v>3</v>
      </c>
      <c r="CF44" s="33">
        <v>4</v>
      </c>
      <c r="CG44" s="30">
        <v>90</v>
      </c>
      <c r="CH44" s="30">
        <v>88</v>
      </c>
      <c r="CI44" s="30" t="s">
        <v>431</v>
      </c>
      <c r="CJ44" s="30" t="s">
        <v>432</v>
      </c>
      <c r="CK44" s="48"/>
      <c r="CL44" s="32">
        <v>45226</v>
      </c>
      <c r="CM44" s="30">
        <v>87</v>
      </c>
      <c r="CN44" s="30"/>
      <c r="CO44" s="30">
        <v>5</v>
      </c>
      <c r="CP44" s="30">
        <v>5</v>
      </c>
      <c r="CQ44" s="30">
        <v>10</v>
      </c>
      <c r="CR44" s="30">
        <v>10</v>
      </c>
      <c r="CS44" s="30">
        <v>25</v>
      </c>
      <c r="CT44" s="30">
        <v>25</v>
      </c>
      <c r="CU44" s="33">
        <v>8.75</v>
      </c>
      <c r="CV44" s="30">
        <v>10</v>
      </c>
      <c r="CW44" s="30">
        <v>10</v>
      </c>
      <c r="CX44" s="30">
        <v>5</v>
      </c>
      <c r="CY44" s="30">
        <v>10</v>
      </c>
      <c r="CZ44" s="30">
        <v>10</v>
      </c>
      <c r="DA44" s="30">
        <v>25</v>
      </c>
      <c r="DB44" s="30">
        <v>30</v>
      </c>
      <c r="DC44" s="30">
        <v>55</v>
      </c>
      <c r="DD44" s="30" t="s">
        <v>277</v>
      </c>
      <c r="DE44" s="30" t="s">
        <v>277</v>
      </c>
      <c r="DF44" s="30" t="s">
        <v>277</v>
      </c>
      <c r="DG44" s="30" t="s">
        <v>277</v>
      </c>
      <c r="DH44" s="30" t="s">
        <v>277</v>
      </c>
      <c r="DI44" s="30" t="s">
        <v>277</v>
      </c>
      <c r="DJ44" s="30" t="s">
        <v>277</v>
      </c>
      <c r="DK44" s="33">
        <v>8.75</v>
      </c>
      <c r="DL44" s="33">
        <v>22</v>
      </c>
      <c r="DM44" s="33">
        <v>8.3333333333333339</v>
      </c>
      <c r="DN44" s="33">
        <v>10</v>
      </c>
      <c r="DO44" s="33">
        <v>36.666666666666664</v>
      </c>
      <c r="DP44" s="33">
        <v>12.5</v>
      </c>
      <c r="DQ44" s="30">
        <v>3</v>
      </c>
      <c r="DR44" s="33">
        <v>0</v>
      </c>
      <c r="DS44" s="30">
        <v>15</v>
      </c>
      <c r="DT44" s="30">
        <v>100</v>
      </c>
      <c r="DU44" s="30">
        <v>35</v>
      </c>
      <c r="DV44" s="30">
        <v>50</v>
      </c>
      <c r="DW44" s="30">
        <v>55</v>
      </c>
      <c r="DX44" s="30">
        <v>70</v>
      </c>
      <c r="DY44" s="30">
        <v>75</v>
      </c>
      <c r="DZ44" s="30">
        <v>80</v>
      </c>
      <c r="EA44" s="33">
        <v>57.5</v>
      </c>
      <c r="EB44" s="30">
        <v>65</v>
      </c>
      <c r="EC44" s="30">
        <v>65</v>
      </c>
      <c r="ED44" s="30">
        <v>75</v>
      </c>
      <c r="EE44" s="30">
        <v>90</v>
      </c>
      <c r="EF44" s="30">
        <v>70</v>
      </c>
      <c r="EG44" s="30">
        <v>80</v>
      </c>
      <c r="EH44" s="30">
        <v>85</v>
      </c>
      <c r="EI44" s="30">
        <v>100</v>
      </c>
      <c r="EJ44" s="30" t="s">
        <v>277</v>
      </c>
      <c r="EK44" s="30" t="s">
        <v>277</v>
      </c>
      <c r="EL44" s="30" t="s">
        <v>277</v>
      </c>
      <c r="EM44" s="30" t="s">
        <v>277</v>
      </c>
      <c r="EN44" s="30" t="s">
        <v>277</v>
      </c>
      <c r="EO44" s="30" t="s">
        <v>277</v>
      </c>
      <c r="EP44" s="30" t="s">
        <v>277</v>
      </c>
      <c r="EQ44" s="33">
        <v>81.25</v>
      </c>
      <c r="ER44" s="33">
        <v>84</v>
      </c>
      <c r="ES44" s="33">
        <v>68.333333333333329</v>
      </c>
      <c r="ET44" s="33">
        <v>80</v>
      </c>
      <c r="EU44" s="33">
        <v>88.333333333333329</v>
      </c>
      <c r="EV44" s="33">
        <v>78.75</v>
      </c>
      <c r="EW44" s="30">
        <v>6</v>
      </c>
      <c r="EX44" s="33">
        <v>3</v>
      </c>
      <c r="EY44" s="30">
        <v>75</v>
      </c>
      <c r="EZ44" s="30">
        <v>88</v>
      </c>
      <c r="FA44" s="30" t="s">
        <v>433</v>
      </c>
      <c r="FB44" s="30" t="s">
        <v>434</v>
      </c>
      <c r="FC44" s="48"/>
      <c r="FD44" s="67">
        <v>45313</v>
      </c>
      <c r="FE44" s="30">
        <v>174</v>
      </c>
      <c r="FF44" s="30"/>
      <c r="FG44" s="30">
        <v>10</v>
      </c>
      <c r="FH44" s="30">
        <v>5</v>
      </c>
      <c r="FI44" s="30">
        <v>10</v>
      </c>
      <c r="FJ44" s="30">
        <v>15</v>
      </c>
      <c r="FK44" s="30">
        <v>25</v>
      </c>
      <c r="FL44" s="30">
        <v>25</v>
      </c>
      <c r="FM44" s="33">
        <v>10</v>
      </c>
      <c r="FN44" s="30">
        <v>15</v>
      </c>
      <c r="FO44" s="30">
        <v>10</v>
      </c>
      <c r="FP44" s="30">
        <v>5</v>
      </c>
      <c r="FQ44" s="30">
        <v>10</v>
      </c>
      <c r="FR44" s="30">
        <v>15</v>
      </c>
      <c r="FS44" s="30">
        <v>25</v>
      </c>
      <c r="FT44" s="30">
        <v>25</v>
      </c>
      <c r="FU44" s="30">
        <v>60</v>
      </c>
      <c r="FV44" s="30" t="s">
        <v>234</v>
      </c>
      <c r="FW44" s="30" t="s">
        <v>234</v>
      </c>
      <c r="FX44" s="30" t="s">
        <v>234</v>
      </c>
      <c r="FY44" s="30" t="s">
        <v>234</v>
      </c>
      <c r="FZ44" s="30" t="s">
        <v>234</v>
      </c>
      <c r="GA44" s="30" t="s">
        <v>234</v>
      </c>
      <c r="GB44" s="30" t="s">
        <v>234</v>
      </c>
      <c r="GC44" s="33">
        <v>10</v>
      </c>
      <c r="GD44" s="33">
        <v>23</v>
      </c>
      <c r="GE44" s="33">
        <v>10</v>
      </c>
      <c r="GF44" s="33">
        <v>12.5</v>
      </c>
      <c r="GG44" s="33">
        <v>36.666666666666664</v>
      </c>
      <c r="GH44" s="33">
        <v>13.75</v>
      </c>
      <c r="GI44" s="30">
        <v>3</v>
      </c>
      <c r="GJ44" s="33">
        <v>0</v>
      </c>
      <c r="GK44" s="30">
        <v>15</v>
      </c>
      <c r="GL44" s="30">
        <v>100</v>
      </c>
      <c r="GM44" s="30">
        <v>35</v>
      </c>
      <c r="GN44" s="30">
        <v>55</v>
      </c>
      <c r="GO44" s="30">
        <v>55</v>
      </c>
      <c r="GP44" s="30">
        <v>65</v>
      </c>
      <c r="GQ44" s="30">
        <v>70</v>
      </c>
      <c r="GR44" s="30">
        <v>80</v>
      </c>
      <c r="GS44" s="30">
        <v>57.5</v>
      </c>
      <c r="GT44" s="30">
        <v>70</v>
      </c>
      <c r="GU44" s="30">
        <v>65</v>
      </c>
      <c r="GV44" s="30">
        <v>70</v>
      </c>
      <c r="GW44" s="30">
        <v>90</v>
      </c>
      <c r="GX44" s="30">
        <v>65</v>
      </c>
      <c r="GY44" s="30">
        <v>70</v>
      </c>
      <c r="GZ44" s="30">
        <v>90</v>
      </c>
      <c r="HA44" s="30">
        <v>100</v>
      </c>
      <c r="HB44" s="30" t="s">
        <v>277</v>
      </c>
      <c r="HC44" s="30" t="s">
        <v>277</v>
      </c>
      <c r="HD44" s="30" t="s">
        <v>277</v>
      </c>
      <c r="HE44" s="30" t="s">
        <v>277</v>
      </c>
      <c r="HF44" s="30" t="s">
        <v>277</v>
      </c>
      <c r="HG44" s="30" t="s">
        <v>277</v>
      </c>
      <c r="HH44" s="30" t="s">
        <v>277</v>
      </c>
      <c r="HI44" s="30">
        <v>78.75</v>
      </c>
      <c r="HJ44" s="30">
        <v>83</v>
      </c>
      <c r="HK44" s="30">
        <v>68.333333333333329</v>
      </c>
      <c r="HL44" s="30">
        <v>77.5</v>
      </c>
      <c r="HM44" s="30">
        <v>86.666666666666671</v>
      </c>
      <c r="HN44" s="30">
        <v>73.75</v>
      </c>
      <c r="HO44" s="30">
        <v>6</v>
      </c>
      <c r="HP44" s="30">
        <v>3</v>
      </c>
      <c r="HQ44" s="30">
        <v>75</v>
      </c>
      <c r="HR44" s="30">
        <v>88</v>
      </c>
      <c r="HS44" s="30"/>
      <c r="HT44" s="30"/>
      <c r="HU44" s="30"/>
      <c r="HV44" s="32">
        <v>45721</v>
      </c>
      <c r="HW44" s="30">
        <v>582</v>
      </c>
      <c r="HX44" s="30"/>
      <c r="HY44" s="30">
        <v>5</v>
      </c>
      <c r="HZ44" s="30">
        <v>5</v>
      </c>
      <c r="IA44" s="30">
        <v>10</v>
      </c>
      <c r="IB44" s="30">
        <v>15</v>
      </c>
      <c r="IC44" s="30">
        <v>20</v>
      </c>
      <c r="ID44" s="30">
        <v>30</v>
      </c>
      <c r="IE44" s="30">
        <v>10</v>
      </c>
      <c r="IF44" s="30">
        <v>10</v>
      </c>
      <c r="IG44" s="30">
        <v>5</v>
      </c>
      <c r="IH44" s="30">
        <v>5</v>
      </c>
      <c r="II44" s="30">
        <v>10</v>
      </c>
      <c r="IJ44" s="30">
        <v>15</v>
      </c>
      <c r="IK44" s="30">
        <v>20</v>
      </c>
      <c r="IL44" s="30">
        <v>30</v>
      </c>
      <c r="IM44" s="30">
        <v>55</v>
      </c>
      <c r="IN44" s="30"/>
      <c r="IO44" s="30"/>
      <c r="IP44" s="30"/>
      <c r="IQ44" s="30"/>
      <c r="IR44" s="30"/>
      <c r="IS44" s="30"/>
      <c r="IT44" s="30"/>
      <c r="IU44" s="30">
        <v>10</v>
      </c>
      <c r="IV44" s="30">
        <v>23</v>
      </c>
      <c r="IW44" s="30">
        <v>6.666666666666667</v>
      </c>
      <c r="IX44" s="30">
        <v>12.5</v>
      </c>
      <c r="IY44" s="30">
        <v>35</v>
      </c>
      <c r="IZ44" s="30">
        <v>12.5</v>
      </c>
      <c r="JA44" s="30">
        <v>3</v>
      </c>
      <c r="JB44" s="30">
        <v>0</v>
      </c>
      <c r="JC44" s="30">
        <v>15</v>
      </c>
      <c r="JD44" s="30">
        <v>100</v>
      </c>
      <c r="JE44" s="30">
        <v>30</v>
      </c>
      <c r="JF44" s="30">
        <v>50</v>
      </c>
      <c r="JG44" s="30">
        <v>55</v>
      </c>
      <c r="JH44" s="30">
        <v>60</v>
      </c>
      <c r="JI44" s="30">
        <v>70</v>
      </c>
      <c r="JJ44" s="30">
        <v>75</v>
      </c>
      <c r="JK44" s="30">
        <v>55</v>
      </c>
      <c r="JL44" s="30">
        <v>65</v>
      </c>
      <c r="JM44" s="30">
        <v>65</v>
      </c>
      <c r="JN44" s="30">
        <v>70</v>
      </c>
      <c r="JO44" s="30">
        <v>80</v>
      </c>
      <c r="JP44" s="30">
        <v>60</v>
      </c>
      <c r="JQ44" s="30">
        <v>70</v>
      </c>
      <c r="JR44" s="30">
        <v>95</v>
      </c>
      <c r="JS44" s="30">
        <v>105</v>
      </c>
      <c r="JT44" s="30"/>
      <c r="JU44" s="30"/>
      <c r="JV44" s="30"/>
      <c r="JW44" s="30"/>
      <c r="JX44" s="30"/>
      <c r="JY44" s="30"/>
      <c r="JZ44" s="30"/>
      <c r="KA44" s="30">
        <v>72.5</v>
      </c>
      <c r="KB44" s="30">
        <v>82</v>
      </c>
      <c r="KC44" s="30">
        <v>66.666666666666671</v>
      </c>
      <c r="KD44" s="30">
        <v>70</v>
      </c>
      <c r="KE44" s="30">
        <v>90</v>
      </c>
      <c r="KF44" s="30">
        <v>70</v>
      </c>
      <c r="KG44" s="30">
        <v>6</v>
      </c>
      <c r="KH44" s="30">
        <v>3</v>
      </c>
      <c r="KI44" s="30">
        <v>65</v>
      </c>
      <c r="KJ44" s="30">
        <v>88</v>
      </c>
      <c r="KK44" s="30"/>
      <c r="KL44" s="30"/>
      <c r="KM44" s="30"/>
    </row>
    <row r="45" spans="1:299" s="1" customFormat="1" ht="49.5">
      <c r="A45" s="8" t="s">
        <v>635</v>
      </c>
      <c r="B45" s="1">
        <v>45</v>
      </c>
      <c r="C45" s="20">
        <v>40</v>
      </c>
      <c r="D45" s="1">
        <v>2</v>
      </c>
      <c r="E45" s="1" t="s">
        <v>589</v>
      </c>
      <c r="F45" s="1">
        <v>21106</v>
      </c>
      <c r="G45" s="12" t="s">
        <v>56</v>
      </c>
      <c r="H45" s="12" t="s">
        <v>57</v>
      </c>
      <c r="I45" s="12" t="s">
        <v>22</v>
      </c>
      <c r="J45" s="13">
        <v>44918</v>
      </c>
      <c r="K45" s="30" t="s">
        <v>661</v>
      </c>
      <c r="L45" s="77" t="s">
        <v>662</v>
      </c>
      <c r="M45" s="14" t="s">
        <v>127</v>
      </c>
      <c r="N45" s="12" t="s">
        <v>114</v>
      </c>
      <c r="T45" s="35">
        <v>44914</v>
      </c>
      <c r="U45" s="30">
        <v>-4</v>
      </c>
      <c r="V45" s="30" t="s">
        <v>572</v>
      </c>
      <c r="W45" s="30">
        <v>25</v>
      </c>
      <c r="X45" s="30">
        <v>20</v>
      </c>
      <c r="Y45" s="30">
        <v>20</v>
      </c>
      <c r="Z45" s="30">
        <v>15</v>
      </c>
      <c r="AA45" s="30">
        <v>20</v>
      </c>
      <c r="AB45" s="30">
        <v>10</v>
      </c>
      <c r="AC45" s="33">
        <v>18.75</v>
      </c>
      <c r="AD45" s="30">
        <v>55</v>
      </c>
      <c r="AE45" s="30">
        <v>50</v>
      </c>
      <c r="AF45" s="30">
        <v>40</v>
      </c>
      <c r="AG45" s="30">
        <v>50</v>
      </c>
      <c r="AH45" s="30">
        <v>25</v>
      </c>
      <c r="AI45" s="30">
        <v>20</v>
      </c>
      <c r="AJ45" s="30">
        <v>30</v>
      </c>
      <c r="AK45" s="30">
        <v>40</v>
      </c>
      <c r="AL45" s="31" t="s">
        <v>234</v>
      </c>
      <c r="AM45" s="31" t="s">
        <v>234</v>
      </c>
      <c r="AN45" s="31" t="s">
        <v>234</v>
      </c>
      <c r="AO45" s="31" t="s">
        <v>234</v>
      </c>
      <c r="AP45" s="31" t="s">
        <v>234</v>
      </c>
      <c r="AQ45" s="31" t="s">
        <v>234</v>
      </c>
      <c r="AR45" s="31" t="s">
        <v>234</v>
      </c>
      <c r="AS45" s="33">
        <v>41.25</v>
      </c>
      <c r="AT45" s="33">
        <v>37</v>
      </c>
      <c r="AU45" s="33">
        <v>48.333333333333336</v>
      </c>
      <c r="AV45" s="33">
        <v>37.5</v>
      </c>
      <c r="AW45" s="33">
        <v>30</v>
      </c>
      <c r="AX45" s="33">
        <v>33.75</v>
      </c>
      <c r="AY45" s="34">
        <v>1</v>
      </c>
      <c r="AZ45" s="33">
        <v>1</v>
      </c>
      <c r="BA45" s="30">
        <v>40</v>
      </c>
      <c r="BB45" s="30">
        <v>100</v>
      </c>
      <c r="BC45" s="30">
        <v>10</v>
      </c>
      <c r="BD45" s="30">
        <v>5</v>
      </c>
      <c r="BE45" s="30">
        <v>10</v>
      </c>
      <c r="BF45" s="30">
        <v>0</v>
      </c>
      <c r="BG45" s="30">
        <v>5</v>
      </c>
      <c r="BH45" s="30">
        <v>15</v>
      </c>
      <c r="BI45" s="33">
        <v>6.25</v>
      </c>
      <c r="BJ45" s="30">
        <v>15</v>
      </c>
      <c r="BK45" s="30">
        <v>10</v>
      </c>
      <c r="BL45" s="30">
        <v>5</v>
      </c>
      <c r="BM45" s="30">
        <v>10</v>
      </c>
      <c r="BN45" s="30">
        <v>0</v>
      </c>
      <c r="BO45" s="30">
        <v>5</v>
      </c>
      <c r="BP45" s="30">
        <v>15</v>
      </c>
      <c r="BQ45" s="30">
        <v>15</v>
      </c>
      <c r="BR45" s="31" t="s">
        <v>234</v>
      </c>
      <c r="BS45" s="31" t="s">
        <v>234</v>
      </c>
      <c r="BT45" s="31" t="s">
        <v>234</v>
      </c>
      <c r="BU45" s="31" t="s">
        <v>234</v>
      </c>
      <c r="BV45" s="31" t="s">
        <v>234</v>
      </c>
      <c r="BW45" s="31" t="s">
        <v>234</v>
      </c>
      <c r="BX45" s="31" t="s">
        <v>234</v>
      </c>
      <c r="BY45" s="33">
        <v>6.25</v>
      </c>
      <c r="BZ45" s="33">
        <v>9</v>
      </c>
      <c r="CA45" s="33">
        <v>10</v>
      </c>
      <c r="CB45" s="33">
        <v>5</v>
      </c>
      <c r="CC45" s="33">
        <v>11.666666666666666</v>
      </c>
      <c r="CD45" s="33">
        <v>5</v>
      </c>
      <c r="CE45" s="30">
        <v>4</v>
      </c>
      <c r="CF45" s="33">
        <v>0</v>
      </c>
      <c r="CG45" s="30">
        <v>10</v>
      </c>
      <c r="CH45" s="30">
        <v>100</v>
      </c>
      <c r="CI45" s="30" t="s">
        <v>435</v>
      </c>
      <c r="CJ45" s="31" t="s">
        <v>436</v>
      </c>
      <c r="CK45" s="30"/>
      <c r="CL45" s="45"/>
      <c r="CM45" s="30">
        <v>-44918</v>
      </c>
      <c r="CN45" s="30"/>
      <c r="CO45" s="30"/>
      <c r="CP45" s="30"/>
      <c r="CQ45" s="30"/>
      <c r="CR45" s="30"/>
      <c r="CS45" s="30"/>
      <c r="CT45" s="30"/>
      <c r="CU45" s="33">
        <v>0</v>
      </c>
      <c r="CV45" s="30"/>
      <c r="CW45" s="30"/>
      <c r="CX45" s="30"/>
      <c r="CY45" s="30"/>
      <c r="CZ45" s="30"/>
      <c r="DA45" s="30"/>
      <c r="DB45" s="30"/>
      <c r="DC45" s="30"/>
      <c r="DD45" s="30" t="s">
        <v>277</v>
      </c>
      <c r="DE45" s="30" t="s">
        <v>277</v>
      </c>
      <c r="DF45" s="30" t="s">
        <v>277</v>
      </c>
      <c r="DG45" s="30" t="s">
        <v>277</v>
      </c>
      <c r="DH45" s="30" t="s">
        <v>277</v>
      </c>
      <c r="DI45" s="30" t="s">
        <v>277</v>
      </c>
      <c r="DJ45" s="30" t="s">
        <v>277</v>
      </c>
      <c r="DK45" s="33">
        <v>0</v>
      </c>
      <c r="DL45" s="33" t="e">
        <v>#DIV/0!</v>
      </c>
      <c r="DM45" s="33" t="e">
        <v>#DIV/0!</v>
      </c>
      <c r="DN45" s="33" t="e">
        <v>#DIV/0!</v>
      </c>
      <c r="DO45" s="33" t="e">
        <v>#DIV/0!</v>
      </c>
      <c r="DP45" s="33" t="e">
        <v>#DIV/0!</v>
      </c>
      <c r="DQ45" s="30" t="e">
        <v>#DIV/0!</v>
      </c>
      <c r="DR45" s="33" t="e">
        <v>#DIV/0!</v>
      </c>
      <c r="DS45" s="30"/>
      <c r="DT45" s="30"/>
      <c r="DU45" s="30"/>
      <c r="DV45" s="30"/>
      <c r="DW45" s="30"/>
      <c r="DX45" s="30"/>
      <c r="DY45" s="30"/>
      <c r="DZ45" s="30"/>
      <c r="EA45" s="33">
        <v>0</v>
      </c>
      <c r="EB45" s="30"/>
      <c r="EC45" s="30"/>
      <c r="ED45" s="30"/>
      <c r="EE45" s="30"/>
      <c r="EF45" s="30"/>
      <c r="EG45" s="30"/>
      <c r="EH45" s="30"/>
      <c r="EI45" s="30"/>
      <c r="EJ45" s="30" t="s">
        <v>277</v>
      </c>
      <c r="EK45" s="30" t="s">
        <v>277</v>
      </c>
      <c r="EL45" s="30" t="s">
        <v>277</v>
      </c>
      <c r="EM45" s="30" t="s">
        <v>277</v>
      </c>
      <c r="EN45" s="30" t="s">
        <v>277</v>
      </c>
      <c r="EO45" s="30" t="s">
        <v>277</v>
      </c>
      <c r="EP45" s="30" t="s">
        <v>277</v>
      </c>
      <c r="EQ45" s="33">
        <v>0</v>
      </c>
      <c r="ER45" s="33" t="e">
        <v>#DIV/0!</v>
      </c>
      <c r="ES45" s="33" t="e">
        <v>#DIV/0!</v>
      </c>
      <c r="ET45" s="33" t="e">
        <v>#DIV/0!</v>
      </c>
      <c r="EU45" s="33" t="e">
        <v>#DIV/0!</v>
      </c>
      <c r="EV45" s="33" t="e">
        <v>#DIV/0!</v>
      </c>
      <c r="EW45" s="30" t="e">
        <v>#DIV/0!</v>
      </c>
      <c r="EX45" s="33" t="e">
        <v>#DIV/0!</v>
      </c>
      <c r="EY45" s="30"/>
      <c r="EZ45" s="30"/>
      <c r="FA45" s="30"/>
      <c r="FB45" s="30"/>
      <c r="FC45" s="30"/>
      <c r="FD45" s="46">
        <v>45189</v>
      </c>
      <c r="FE45" s="30">
        <v>271</v>
      </c>
      <c r="FF45" s="30"/>
      <c r="FG45" s="30"/>
      <c r="FH45" s="30"/>
      <c r="FI45" s="30"/>
      <c r="FJ45" s="30"/>
      <c r="FK45" s="30"/>
      <c r="FL45" s="30"/>
      <c r="FM45" s="33">
        <v>0</v>
      </c>
      <c r="FN45" s="30"/>
      <c r="FO45" s="30"/>
      <c r="FP45" s="30"/>
      <c r="FQ45" s="30"/>
      <c r="FR45" s="30"/>
      <c r="FS45" s="30"/>
      <c r="FT45" s="30"/>
      <c r="FU45" s="30"/>
      <c r="FV45" s="30" t="s">
        <v>234</v>
      </c>
      <c r="FW45" s="30" t="s">
        <v>234</v>
      </c>
      <c r="FX45" s="30" t="s">
        <v>234</v>
      </c>
      <c r="FY45" s="30" t="s">
        <v>234</v>
      </c>
      <c r="FZ45" s="30" t="s">
        <v>234</v>
      </c>
      <c r="GA45" s="30" t="s">
        <v>234</v>
      </c>
      <c r="GB45" s="30" t="s">
        <v>234</v>
      </c>
      <c r="GC45" s="33">
        <v>0</v>
      </c>
      <c r="GD45" s="33" t="e">
        <v>#DIV/0!</v>
      </c>
      <c r="GE45" s="33" t="e">
        <v>#DIV/0!</v>
      </c>
      <c r="GF45" s="33" t="e">
        <v>#DIV/0!</v>
      </c>
      <c r="GG45" s="33" t="e">
        <v>#DIV/0!</v>
      </c>
      <c r="GH45" s="33" t="e">
        <v>#DIV/0!</v>
      </c>
      <c r="GI45" s="30" t="e">
        <v>#DIV/0!</v>
      </c>
      <c r="GJ45" s="33" t="e">
        <v>#DIV/0!</v>
      </c>
      <c r="GK45" s="30"/>
      <c r="GL45" s="30"/>
      <c r="GM45" s="30"/>
      <c r="GN45" s="30"/>
      <c r="GO45" s="30"/>
      <c r="GP45" s="30"/>
      <c r="GQ45" s="30"/>
      <c r="GR45" s="30"/>
      <c r="GS45" s="30">
        <v>0</v>
      </c>
      <c r="GT45" s="30"/>
      <c r="GU45" s="30"/>
      <c r="GV45" s="30"/>
      <c r="GW45" s="30"/>
      <c r="GX45" s="30"/>
      <c r="GY45" s="30"/>
      <c r="GZ45" s="30"/>
      <c r="HA45" s="30"/>
      <c r="HB45" s="30" t="s">
        <v>277</v>
      </c>
      <c r="HC45" s="30" t="s">
        <v>277</v>
      </c>
      <c r="HD45" s="30" t="s">
        <v>277</v>
      </c>
      <c r="HE45" s="30" t="s">
        <v>277</v>
      </c>
      <c r="HF45" s="30" t="s">
        <v>277</v>
      </c>
      <c r="HG45" s="30" t="s">
        <v>277</v>
      </c>
      <c r="HH45" s="30" t="s">
        <v>277</v>
      </c>
      <c r="HI45" s="30">
        <v>0</v>
      </c>
      <c r="HJ45" s="30" t="e">
        <v>#DIV/0!</v>
      </c>
      <c r="HK45" s="30" t="e">
        <v>#DIV/0!</v>
      </c>
      <c r="HL45" s="30" t="e">
        <v>#DIV/0!</v>
      </c>
      <c r="HM45" s="30" t="e">
        <v>#DIV/0!</v>
      </c>
      <c r="HN45" s="30" t="e">
        <v>#DIV/0!</v>
      </c>
      <c r="HO45" s="30" t="e">
        <v>#DIV/0!</v>
      </c>
      <c r="HP45" s="30" t="e">
        <v>#DIV/0!</v>
      </c>
      <c r="HQ45" s="30"/>
      <c r="HR45" s="30"/>
      <c r="HS45" s="30"/>
      <c r="HT45" s="30"/>
      <c r="HU45" s="30"/>
      <c r="HV45" s="64"/>
      <c r="HW45" s="30">
        <v>-44918</v>
      </c>
      <c r="HX45" s="30"/>
      <c r="HY45" s="30"/>
      <c r="HZ45" s="30"/>
      <c r="IA45" s="30"/>
      <c r="IB45" s="30"/>
      <c r="IC45" s="30"/>
      <c r="ID45" s="30"/>
      <c r="IE45" s="30">
        <v>0</v>
      </c>
      <c r="IF45" s="30"/>
      <c r="IG45" s="30"/>
      <c r="IH45" s="30"/>
      <c r="II45" s="30"/>
      <c r="IJ45" s="30"/>
      <c r="IK45" s="30"/>
      <c r="IL45" s="30"/>
      <c r="IM45" s="30"/>
      <c r="IN45" s="30" t="s">
        <v>277</v>
      </c>
      <c r="IO45" s="30" t="s">
        <v>277</v>
      </c>
      <c r="IP45" s="30" t="s">
        <v>277</v>
      </c>
      <c r="IQ45" s="30" t="s">
        <v>277</v>
      </c>
      <c r="IR45" s="30" t="s">
        <v>277</v>
      </c>
      <c r="IS45" s="30" t="s">
        <v>277</v>
      </c>
      <c r="IT45" s="30" t="s">
        <v>277</v>
      </c>
      <c r="IU45" s="30">
        <v>0</v>
      </c>
      <c r="IV45" s="30" t="e">
        <v>#DIV/0!</v>
      </c>
      <c r="IW45" s="30" t="e">
        <v>#DIV/0!</v>
      </c>
      <c r="IX45" s="30" t="e">
        <v>#DIV/0!</v>
      </c>
      <c r="IY45" s="30" t="e">
        <v>#DIV/0!</v>
      </c>
      <c r="IZ45" s="30" t="e">
        <v>#DIV/0!</v>
      </c>
      <c r="JA45" s="30" t="e">
        <v>#DIV/0!</v>
      </c>
      <c r="JB45" s="30" t="e">
        <v>#DIV/0!</v>
      </c>
      <c r="JC45" s="30"/>
      <c r="JD45" s="30"/>
      <c r="JE45" s="30"/>
      <c r="JF45" s="30"/>
      <c r="JG45" s="30"/>
      <c r="JH45" s="30"/>
      <c r="JI45" s="30"/>
      <c r="JJ45" s="30"/>
      <c r="JK45" s="30">
        <v>0</v>
      </c>
      <c r="JL45" s="30"/>
      <c r="JM45" s="30"/>
      <c r="JN45" s="30"/>
      <c r="JO45" s="30"/>
      <c r="JP45" s="30"/>
      <c r="JQ45" s="30"/>
      <c r="JR45" s="30"/>
      <c r="JS45" s="30"/>
      <c r="JT45" s="30" t="s">
        <v>277</v>
      </c>
      <c r="JU45" s="30" t="s">
        <v>277</v>
      </c>
      <c r="JV45" s="30" t="s">
        <v>277</v>
      </c>
      <c r="JW45" s="30" t="s">
        <v>277</v>
      </c>
      <c r="JX45" s="30" t="s">
        <v>277</v>
      </c>
      <c r="JY45" s="30" t="s">
        <v>277</v>
      </c>
      <c r="JZ45" s="30" t="s">
        <v>277</v>
      </c>
      <c r="KA45" s="30">
        <v>0</v>
      </c>
      <c r="KB45" s="30" t="e">
        <v>#DIV/0!</v>
      </c>
      <c r="KC45" s="30" t="e">
        <v>#DIV/0!</v>
      </c>
      <c r="KD45" s="30" t="e">
        <v>#DIV/0!</v>
      </c>
      <c r="KE45" s="30" t="e">
        <v>#DIV/0!</v>
      </c>
      <c r="KF45" s="30" t="e">
        <v>#DIV/0!</v>
      </c>
      <c r="KG45" s="30" t="e">
        <v>#DIV/0!</v>
      </c>
      <c r="KH45" s="30" t="e">
        <v>#DIV/0!</v>
      </c>
      <c r="KI45" s="30"/>
      <c r="KJ45" s="30"/>
      <c r="KK45" s="30"/>
      <c r="KL45" s="30"/>
      <c r="KM45" s="30"/>
    </row>
    <row r="46" spans="1:299" s="1" customFormat="1">
      <c r="A46" s="8" t="s">
        <v>636</v>
      </c>
      <c r="B46" s="1">
        <v>54</v>
      </c>
      <c r="C46" s="1">
        <v>50</v>
      </c>
      <c r="D46" s="1">
        <v>1</v>
      </c>
      <c r="E46" s="1" t="s">
        <v>592</v>
      </c>
      <c r="F46" s="73" t="s">
        <v>582</v>
      </c>
      <c r="G46" s="10">
        <v>43934</v>
      </c>
      <c r="H46" s="10">
        <v>43950</v>
      </c>
      <c r="I46" s="12" t="s">
        <v>22</v>
      </c>
      <c r="J46" s="10">
        <v>43971</v>
      </c>
      <c r="K46" s="33" t="s">
        <v>678</v>
      </c>
      <c r="L46" s="78" t="s">
        <v>699</v>
      </c>
      <c r="N46" s="1" t="s">
        <v>184</v>
      </c>
      <c r="T46" s="54">
        <v>43922</v>
      </c>
      <c r="U46" s="30">
        <v>-49</v>
      </c>
      <c r="V46" s="33"/>
      <c r="W46" s="33">
        <v>25</v>
      </c>
      <c r="X46" s="33">
        <v>20</v>
      </c>
      <c r="Y46" s="33">
        <v>15</v>
      </c>
      <c r="Z46" s="33">
        <v>15</v>
      </c>
      <c r="AA46" s="33">
        <v>35</v>
      </c>
      <c r="AB46" s="33">
        <v>50</v>
      </c>
      <c r="AC46" s="33">
        <v>16.25</v>
      </c>
      <c r="AD46" s="30">
        <v>35</v>
      </c>
      <c r="AE46" s="30">
        <v>30</v>
      </c>
      <c r="AF46" s="30">
        <v>20</v>
      </c>
      <c r="AG46" s="30">
        <v>20</v>
      </c>
      <c r="AH46" s="30">
        <v>15</v>
      </c>
      <c r="AI46" s="30">
        <v>45</v>
      </c>
      <c r="AJ46" s="30">
        <v>75</v>
      </c>
      <c r="AK46" s="30">
        <v>80</v>
      </c>
      <c r="AL46" s="31" t="s">
        <v>234</v>
      </c>
      <c r="AM46" s="31" t="s">
        <v>234</v>
      </c>
      <c r="AN46" s="31" t="s">
        <v>234</v>
      </c>
      <c r="AO46" s="31" t="s">
        <v>234</v>
      </c>
      <c r="AP46" s="31" t="s">
        <v>234</v>
      </c>
      <c r="AQ46" s="31" t="s">
        <v>234</v>
      </c>
      <c r="AR46" s="31" t="s">
        <v>234</v>
      </c>
      <c r="AS46" s="33">
        <v>18.75</v>
      </c>
      <c r="AT46" s="33">
        <v>42</v>
      </c>
      <c r="AU46" s="33">
        <v>28.333333333333332</v>
      </c>
      <c r="AV46" s="33">
        <v>17.5</v>
      </c>
      <c r="AW46" s="33">
        <v>66.666666666666671</v>
      </c>
      <c r="AX46" s="33">
        <v>25</v>
      </c>
      <c r="AY46" s="34">
        <v>6</v>
      </c>
      <c r="AZ46" s="33">
        <v>1</v>
      </c>
      <c r="BA46" s="33">
        <v>35</v>
      </c>
      <c r="BB46" s="33">
        <v>100</v>
      </c>
      <c r="BC46" s="33">
        <v>0</v>
      </c>
      <c r="BD46" s="33">
        <v>15</v>
      </c>
      <c r="BE46" s="33">
        <v>5</v>
      </c>
      <c r="BF46" s="33">
        <v>15</v>
      </c>
      <c r="BG46" s="33">
        <v>20</v>
      </c>
      <c r="BH46" s="33">
        <v>30</v>
      </c>
      <c r="BI46" s="33">
        <v>10</v>
      </c>
      <c r="BJ46" s="30">
        <v>35</v>
      </c>
      <c r="BK46" s="30">
        <v>40</v>
      </c>
      <c r="BL46" s="30">
        <v>45</v>
      </c>
      <c r="BM46" s="30">
        <v>40</v>
      </c>
      <c r="BN46" s="30">
        <v>40</v>
      </c>
      <c r="BO46" s="30">
        <v>45</v>
      </c>
      <c r="BP46" s="30">
        <v>60</v>
      </c>
      <c r="BQ46" s="30">
        <v>90</v>
      </c>
      <c r="BR46" s="31" t="s">
        <v>234</v>
      </c>
      <c r="BS46" s="31" t="s">
        <v>234</v>
      </c>
      <c r="BT46" s="31" t="s">
        <v>234</v>
      </c>
      <c r="BU46" s="31" t="s">
        <v>234</v>
      </c>
      <c r="BV46" s="31" t="s">
        <v>234</v>
      </c>
      <c r="BW46" s="31" t="s">
        <v>234</v>
      </c>
      <c r="BX46" s="31" t="s">
        <v>234</v>
      </c>
      <c r="BY46" s="33">
        <v>41.25</v>
      </c>
      <c r="BZ46" s="33">
        <v>55</v>
      </c>
      <c r="CA46" s="33">
        <v>40</v>
      </c>
      <c r="CB46" s="33">
        <v>40</v>
      </c>
      <c r="CC46" s="33">
        <v>65</v>
      </c>
      <c r="CD46" s="33">
        <v>42.5</v>
      </c>
      <c r="CE46" s="33">
        <v>3</v>
      </c>
      <c r="CF46" s="33">
        <v>2</v>
      </c>
      <c r="CG46" s="33">
        <v>45</v>
      </c>
      <c r="CH46" s="33">
        <v>100</v>
      </c>
      <c r="CI46" s="31" t="s">
        <v>437</v>
      </c>
      <c r="CJ46" s="31" t="s">
        <v>438</v>
      </c>
      <c r="CK46" s="33"/>
      <c r="CL46" s="54">
        <v>44076</v>
      </c>
      <c r="CM46" s="30">
        <v>105</v>
      </c>
      <c r="CN46" s="33"/>
      <c r="CO46" s="33">
        <v>15</v>
      </c>
      <c r="CP46" s="33">
        <v>10</v>
      </c>
      <c r="CQ46" s="33">
        <v>20</v>
      </c>
      <c r="CR46" s="33">
        <v>25</v>
      </c>
      <c r="CS46" s="33">
        <v>35</v>
      </c>
      <c r="CT46" s="33">
        <v>50</v>
      </c>
      <c r="CU46" s="33">
        <v>18.75</v>
      </c>
      <c r="CV46" s="30">
        <v>20</v>
      </c>
      <c r="CW46" s="30">
        <v>20</v>
      </c>
      <c r="CX46" s="30">
        <v>10</v>
      </c>
      <c r="CY46" s="30">
        <v>20</v>
      </c>
      <c r="CZ46" s="30">
        <v>25</v>
      </c>
      <c r="DA46" s="30">
        <v>35</v>
      </c>
      <c r="DB46" s="30">
        <v>90</v>
      </c>
      <c r="DC46" s="30">
        <v>95</v>
      </c>
      <c r="DD46" s="31" t="s">
        <v>234</v>
      </c>
      <c r="DE46" s="31" t="s">
        <v>234</v>
      </c>
      <c r="DF46" s="31" t="s">
        <v>234</v>
      </c>
      <c r="DG46" s="31" t="s">
        <v>234</v>
      </c>
      <c r="DH46" s="31" t="s">
        <v>234</v>
      </c>
      <c r="DI46" s="31" t="s">
        <v>234</v>
      </c>
      <c r="DJ46" s="31" t="s">
        <v>234</v>
      </c>
      <c r="DK46" s="33">
        <v>18.75</v>
      </c>
      <c r="DL46" s="33">
        <v>48</v>
      </c>
      <c r="DM46" s="33">
        <v>16.666666666666668</v>
      </c>
      <c r="DN46" s="33">
        <v>22.5</v>
      </c>
      <c r="DO46" s="33">
        <v>73.333333333333329</v>
      </c>
      <c r="DP46" s="33">
        <v>22.5</v>
      </c>
      <c r="DQ46" s="33">
        <v>6</v>
      </c>
      <c r="DR46" s="33">
        <v>1</v>
      </c>
      <c r="DS46" s="33">
        <v>30</v>
      </c>
      <c r="DT46" s="33">
        <v>100</v>
      </c>
      <c r="DU46" s="33">
        <v>5</v>
      </c>
      <c r="DV46" s="33">
        <v>15</v>
      </c>
      <c r="DW46" s="33">
        <v>5</v>
      </c>
      <c r="DX46" s="33">
        <v>25</v>
      </c>
      <c r="DY46" s="33">
        <v>30</v>
      </c>
      <c r="DZ46" s="33">
        <v>30</v>
      </c>
      <c r="EA46" s="33">
        <v>12.5</v>
      </c>
      <c r="EB46" s="30">
        <v>40</v>
      </c>
      <c r="EC46" s="30">
        <v>40</v>
      </c>
      <c r="ED46" s="30">
        <v>45</v>
      </c>
      <c r="EE46" s="30">
        <v>40</v>
      </c>
      <c r="EF46" s="30">
        <v>40</v>
      </c>
      <c r="EG46" s="30">
        <v>45</v>
      </c>
      <c r="EH46" s="30">
        <v>65</v>
      </c>
      <c r="EI46" s="30">
        <v>85</v>
      </c>
      <c r="EJ46" s="31" t="s">
        <v>234</v>
      </c>
      <c r="EK46" s="31" t="s">
        <v>234</v>
      </c>
      <c r="EL46" s="31" t="s">
        <v>234</v>
      </c>
      <c r="EM46" s="31" t="s">
        <v>234</v>
      </c>
      <c r="EN46" s="31" t="s">
        <v>234</v>
      </c>
      <c r="EO46" s="31" t="s">
        <v>234</v>
      </c>
      <c r="EP46" s="31" t="s">
        <v>234</v>
      </c>
      <c r="EQ46" s="33">
        <v>41.25</v>
      </c>
      <c r="ER46" s="33">
        <v>55</v>
      </c>
      <c r="ES46" s="33">
        <v>41.666666666666664</v>
      </c>
      <c r="ET46" s="33">
        <v>40</v>
      </c>
      <c r="EU46" s="33">
        <v>65</v>
      </c>
      <c r="EV46" s="33">
        <v>42.5</v>
      </c>
      <c r="EW46" s="33">
        <v>3</v>
      </c>
      <c r="EX46" s="33">
        <v>2</v>
      </c>
      <c r="EY46" s="33">
        <v>50</v>
      </c>
      <c r="EZ46" s="33">
        <v>100</v>
      </c>
      <c r="FA46" s="33" t="s">
        <v>439</v>
      </c>
      <c r="FB46" s="33" t="s">
        <v>440</v>
      </c>
      <c r="FC46" s="33"/>
      <c r="FD46" s="54">
        <v>44188</v>
      </c>
      <c r="FE46" s="30">
        <v>217</v>
      </c>
      <c r="FF46" s="33"/>
      <c r="FG46" s="33">
        <v>15</v>
      </c>
      <c r="FH46" s="33">
        <v>20</v>
      </c>
      <c r="FI46" s="33">
        <v>5</v>
      </c>
      <c r="FJ46" s="33">
        <v>20</v>
      </c>
      <c r="FK46" s="33">
        <v>35</v>
      </c>
      <c r="FL46" s="33">
        <v>45</v>
      </c>
      <c r="FM46" s="33">
        <v>12.5</v>
      </c>
      <c r="FN46" s="30">
        <v>20</v>
      </c>
      <c r="FO46" s="30">
        <v>20</v>
      </c>
      <c r="FP46" s="30">
        <v>20</v>
      </c>
      <c r="FQ46" s="30">
        <v>5</v>
      </c>
      <c r="FR46" s="30">
        <v>20</v>
      </c>
      <c r="FS46" s="30">
        <v>35</v>
      </c>
      <c r="FT46" s="30">
        <v>75</v>
      </c>
      <c r="FU46" s="30">
        <v>90</v>
      </c>
      <c r="FV46" s="31" t="s">
        <v>234</v>
      </c>
      <c r="FW46" s="31" t="s">
        <v>234</v>
      </c>
      <c r="FX46" s="31" t="s">
        <v>234</v>
      </c>
      <c r="FY46" s="31" t="s">
        <v>234</v>
      </c>
      <c r="FZ46" s="31" t="s">
        <v>234</v>
      </c>
      <c r="GA46" s="31" t="s">
        <v>234</v>
      </c>
      <c r="GB46" s="31" t="s">
        <v>234</v>
      </c>
      <c r="GC46" s="33">
        <v>12.5</v>
      </c>
      <c r="GD46" s="33">
        <v>42</v>
      </c>
      <c r="GE46" s="33">
        <v>20</v>
      </c>
      <c r="GF46" s="33">
        <v>12.5</v>
      </c>
      <c r="GG46" s="33">
        <v>66.666666666666671</v>
      </c>
      <c r="GH46" s="33">
        <v>20</v>
      </c>
      <c r="GI46" s="33">
        <v>6</v>
      </c>
      <c r="GJ46" s="33">
        <v>0</v>
      </c>
      <c r="GK46" s="33">
        <v>25</v>
      </c>
      <c r="GL46" s="33">
        <v>100</v>
      </c>
      <c r="GM46" s="33">
        <v>15</v>
      </c>
      <c r="GN46" s="33">
        <v>20</v>
      </c>
      <c r="GO46" s="33">
        <v>10</v>
      </c>
      <c r="GP46" s="33">
        <v>25</v>
      </c>
      <c r="GQ46" s="33">
        <v>35</v>
      </c>
      <c r="GR46" s="33">
        <v>30</v>
      </c>
      <c r="GS46" s="30">
        <v>16.25</v>
      </c>
      <c r="GT46" s="30">
        <v>55</v>
      </c>
      <c r="GU46" s="30">
        <v>55</v>
      </c>
      <c r="GV46" s="30">
        <v>50</v>
      </c>
      <c r="GW46" s="30">
        <v>45</v>
      </c>
      <c r="GX46" s="30">
        <v>55</v>
      </c>
      <c r="GY46" s="30">
        <v>65</v>
      </c>
      <c r="GZ46" s="30">
        <v>80</v>
      </c>
      <c r="HA46" s="30">
        <v>90</v>
      </c>
      <c r="HB46" s="31" t="s">
        <v>234</v>
      </c>
      <c r="HC46" s="31" t="s">
        <v>234</v>
      </c>
      <c r="HD46" s="31" t="s">
        <v>234</v>
      </c>
      <c r="HE46" s="31" t="s">
        <v>234</v>
      </c>
      <c r="HF46" s="31" t="s">
        <v>234</v>
      </c>
      <c r="HG46" s="31" t="s">
        <v>234</v>
      </c>
      <c r="HH46" s="31" t="s">
        <v>234</v>
      </c>
      <c r="HI46" s="30">
        <v>48.75</v>
      </c>
      <c r="HJ46" s="30">
        <v>64</v>
      </c>
      <c r="HK46" s="30">
        <v>53.333333333333336</v>
      </c>
      <c r="HL46" s="30">
        <v>50</v>
      </c>
      <c r="HM46" s="30">
        <v>78.333333333333329</v>
      </c>
      <c r="HN46" s="30">
        <v>53.75</v>
      </c>
      <c r="HO46" s="33">
        <v>6</v>
      </c>
      <c r="HP46" s="30">
        <v>2</v>
      </c>
      <c r="HQ46" s="33">
        <v>60</v>
      </c>
      <c r="HR46" s="33">
        <v>100</v>
      </c>
      <c r="HS46" s="31" t="s">
        <v>441</v>
      </c>
      <c r="HT46" s="31" t="s">
        <v>442</v>
      </c>
      <c r="HU46" s="33"/>
      <c r="HV46" s="54">
        <v>44370</v>
      </c>
      <c r="HW46" s="30">
        <v>399</v>
      </c>
      <c r="HX46" s="33"/>
      <c r="HY46" s="33">
        <v>25</v>
      </c>
      <c r="HZ46" s="33">
        <v>20</v>
      </c>
      <c r="IA46" s="33">
        <v>25</v>
      </c>
      <c r="IB46" s="33">
        <v>25</v>
      </c>
      <c r="IC46" s="33">
        <v>35</v>
      </c>
      <c r="ID46" s="33">
        <v>55</v>
      </c>
      <c r="IE46" s="30">
        <v>23.75</v>
      </c>
      <c r="IF46" s="30">
        <v>30</v>
      </c>
      <c r="IG46" s="30">
        <v>25</v>
      </c>
      <c r="IH46" s="30">
        <v>20</v>
      </c>
      <c r="II46" s="30">
        <v>25</v>
      </c>
      <c r="IJ46" s="30">
        <v>25</v>
      </c>
      <c r="IK46" s="30">
        <v>35</v>
      </c>
      <c r="IL46" s="30">
        <v>65</v>
      </c>
      <c r="IM46" s="30">
        <v>85</v>
      </c>
      <c r="IN46" s="31" t="s">
        <v>234</v>
      </c>
      <c r="IO46" s="31" t="s">
        <v>234</v>
      </c>
      <c r="IP46" s="31" t="s">
        <v>234</v>
      </c>
      <c r="IQ46" s="31" t="s">
        <v>234</v>
      </c>
      <c r="IR46" s="31" t="s">
        <v>234</v>
      </c>
      <c r="IS46" s="31" t="s">
        <v>234</v>
      </c>
      <c r="IT46" s="31" t="s">
        <v>234</v>
      </c>
      <c r="IU46" s="30">
        <v>23.75</v>
      </c>
      <c r="IV46" s="30">
        <v>44</v>
      </c>
      <c r="IW46" s="30">
        <v>25</v>
      </c>
      <c r="IX46" s="30">
        <v>25</v>
      </c>
      <c r="IY46" s="30">
        <v>61.666666666666664</v>
      </c>
      <c r="IZ46" s="30">
        <v>26.25</v>
      </c>
      <c r="JA46" s="33">
        <v>6</v>
      </c>
      <c r="JB46" s="30">
        <v>1</v>
      </c>
      <c r="JC46" s="33">
        <v>30</v>
      </c>
      <c r="JD46" s="33">
        <v>100</v>
      </c>
      <c r="JE46" s="33">
        <v>10</v>
      </c>
      <c r="JF46" s="33">
        <v>10</v>
      </c>
      <c r="JG46" s="33">
        <v>10</v>
      </c>
      <c r="JH46" s="33">
        <v>25</v>
      </c>
      <c r="JI46" s="33">
        <v>30</v>
      </c>
      <c r="JJ46" s="33">
        <v>30</v>
      </c>
      <c r="JK46" s="30">
        <v>13.75</v>
      </c>
      <c r="JL46" s="30">
        <v>60</v>
      </c>
      <c r="JM46" s="30">
        <v>60</v>
      </c>
      <c r="JN46" s="30">
        <v>50</v>
      </c>
      <c r="JO46" s="30">
        <v>55</v>
      </c>
      <c r="JP46" s="30">
        <v>45</v>
      </c>
      <c r="JQ46" s="30">
        <v>50</v>
      </c>
      <c r="JR46" s="30">
        <v>80</v>
      </c>
      <c r="JS46" s="42">
        <v>100</v>
      </c>
      <c r="JT46" s="31" t="s">
        <v>234</v>
      </c>
      <c r="JU46" s="31" t="s">
        <v>234</v>
      </c>
      <c r="JV46" s="31" t="s">
        <v>234</v>
      </c>
      <c r="JW46" s="31" t="s">
        <v>234</v>
      </c>
      <c r="JX46" s="31" t="s">
        <v>234</v>
      </c>
      <c r="JY46" s="31" t="s">
        <v>234</v>
      </c>
      <c r="JZ46" s="31" t="s">
        <v>234</v>
      </c>
      <c r="KA46" s="30">
        <v>51.25</v>
      </c>
      <c r="KB46" s="30">
        <v>66</v>
      </c>
      <c r="KC46" s="30">
        <v>56.666666666666664</v>
      </c>
      <c r="KD46" s="30">
        <v>50</v>
      </c>
      <c r="KE46" s="30">
        <v>76.666666666666671</v>
      </c>
      <c r="KF46" s="30">
        <v>50</v>
      </c>
      <c r="KG46" s="33">
        <v>6</v>
      </c>
      <c r="KH46" s="30">
        <v>2</v>
      </c>
      <c r="KI46" s="33">
        <v>55</v>
      </c>
      <c r="KJ46" s="33">
        <v>100</v>
      </c>
      <c r="KK46" s="33"/>
      <c r="KL46" s="33"/>
      <c r="KM46" s="31" t="s">
        <v>443</v>
      </c>
    </row>
    <row r="47" spans="1:299" s="1" customFormat="1">
      <c r="A47" s="8" t="s">
        <v>637</v>
      </c>
      <c r="B47" s="1">
        <v>61</v>
      </c>
      <c r="C47" s="1">
        <v>60</v>
      </c>
      <c r="D47" s="1">
        <v>1</v>
      </c>
      <c r="E47" s="1" t="s">
        <v>592</v>
      </c>
      <c r="F47" s="73" t="s">
        <v>581</v>
      </c>
      <c r="G47" s="10">
        <v>43915</v>
      </c>
      <c r="H47" s="10">
        <v>43942</v>
      </c>
      <c r="I47" s="12" t="s">
        <v>22</v>
      </c>
      <c r="J47" s="10">
        <v>43948</v>
      </c>
      <c r="K47" s="33" t="s">
        <v>700</v>
      </c>
      <c r="L47" s="33" t="s">
        <v>701</v>
      </c>
      <c r="P47" s="1" t="s">
        <v>658</v>
      </c>
      <c r="T47" s="45">
        <v>43941</v>
      </c>
      <c r="U47" s="30">
        <v>-7</v>
      </c>
      <c r="V47" s="33" t="s">
        <v>577</v>
      </c>
      <c r="W47" s="33">
        <v>15</v>
      </c>
      <c r="X47" s="33">
        <v>10</v>
      </c>
      <c r="Y47" s="33">
        <v>15</v>
      </c>
      <c r="Z47" s="33">
        <v>15</v>
      </c>
      <c r="AA47" s="33">
        <v>25</v>
      </c>
      <c r="AB47" s="33">
        <v>55</v>
      </c>
      <c r="AC47" s="33">
        <v>13.75</v>
      </c>
      <c r="AD47" s="30">
        <v>10</v>
      </c>
      <c r="AE47" s="30">
        <v>15</v>
      </c>
      <c r="AF47" s="30">
        <v>10</v>
      </c>
      <c r="AG47" s="30">
        <v>15</v>
      </c>
      <c r="AH47" s="30">
        <v>15</v>
      </c>
      <c r="AI47" s="30">
        <v>25</v>
      </c>
      <c r="AJ47" s="30">
        <v>55</v>
      </c>
      <c r="AK47" s="30">
        <v>55</v>
      </c>
      <c r="AL47" s="31" t="s">
        <v>234</v>
      </c>
      <c r="AM47" s="31" t="s">
        <v>234</v>
      </c>
      <c r="AN47" s="31" t="s">
        <v>234</v>
      </c>
      <c r="AO47" s="31" t="s">
        <v>234</v>
      </c>
      <c r="AP47" s="31" t="s">
        <v>234</v>
      </c>
      <c r="AQ47" s="31" t="s">
        <v>234</v>
      </c>
      <c r="AR47" s="31" t="s">
        <v>234</v>
      </c>
      <c r="AS47" s="33">
        <v>13.75</v>
      </c>
      <c r="AT47" s="33">
        <v>30</v>
      </c>
      <c r="AU47" s="33">
        <v>11.666666666666666</v>
      </c>
      <c r="AV47" s="33">
        <v>15</v>
      </c>
      <c r="AW47" s="33">
        <v>45</v>
      </c>
      <c r="AX47" s="33">
        <v>16.25</v>
      </c>
      <c r="AY47" s="34">
        <v>3</v>
      </c>
      <c r="AZ47" s="33">
        <v>0</v>
      </c>
      <c r="BA47" s="33">
        <v>15</v>
      </c>
      <c r="BB47" s="33">
        <v>100</v>
      </c>
      <c r="BC47" s="33">
        <v>30</v>
      </c>
      <c r="BD47" s="33">
        <v>35</v>
      </c>
      <c r="BE47" s="33">
        <v>25</v>
      </c>
      <c r="BF47" s="33">
        <v>50</v>
      </c>
      <c r="BG47" s="33">
        <v>50</v>
      </c>
      <c r="BH47" s="33">
        <v>65</v>
      </c>
      <c r="BI47" s="33">
        <v>33.75</v>
      </c>
      <c r="BJ47" s="30">
        <v>60</v>
      </c>
      <c r="BK47" s="30">
        <v>65</v>
      </c>
      <c r="BL47" s="30">
        <v>65</v>
      </c>
      <c r="BM47" s="30">
        <v>70</v>
      </c>
      <c r="BN47" s="30">
        <v>70</v>
      </c>
      <c r="BO47" s="30">
        <v>90</v>
      </c>
      <c r="BP47" s="55">
        <v>125</v>
      </c>
      <c r="BQ47" s="33">
        <v>90</v>
      </c>
      <c r="BR47" s="31" t="s">
        <v>234</v>
      </c>
      <c r="BS47" s="31" t="s">
        <v>234</v>
      </c>
      <c r="BT47" s="31" t="s">
        <v>234</v>
      </c>
      <c r="BU47" s="31" t="s">
        <v>234</v>
      </c>
      <c r="BV47" s="31" t="s">
        <v>234</v>
      </c>
      <c r="BW47" s="31" t="s">
        <v>234</v>
      </c>
      <c r="BX47" s="31" t="s">
        <v>234</v>
      </c>
      <c r="BY47" s="33">
        <v>68.75</v>
      </c>
      <c r="BZ47" s="33">
        <v>84</v>
      </c>
      <c r="CA47" s="33">
        <v>63.333333333333336</v>
      </c>
      <c r="CB47" s="33">
        <v>70</v>
      </c>
      <c r="CC47" s="33">
        <v>101.66666666666667</v>
      </c>
      <c r="CD47" s="33">
        <v>73.75</v>
      </c>
      <c r="CE47" s="33">
        <v>6</v>
      </c>
      <c r="CF47" s="33">
        <v>3</v>
      </c>
      <c r="CG47" s="33">
        <v>70</v>
      </c>
      <c r="CH47" s="33">
        <v>100</v>
      </c>
      <c r="CI47" s="31" t="s">
        <v>444</v>
      </c>
      <c r="CJ47" s="31" t="s">
        <v>445</v>
      </c>
      <c r="CK47" s="65"/>
      <c r="CL47" s="45"/>
      <c r="CM47" s="30">
        <v>-43948</v>
      </c>
      <c r="CN47" s="33"/>
      <c r="CO47" s="33"/>
      <c r="CP47" s="33"/>
      <c r="CQ47" s="33"/>
      <c r="CR47" s="33"/>
      <c r="CS47" s="33"/>
      <c r="CT47" s="33"/>
      <c r="CU47" s="33">
        <v>0</v>
      </c>
      <c r="CV47" s="33"/>
      <c r="CW47" s="33"/>
      <c r="CX47" s="33"/>
      <c r="CY47" s="33"/>
      <c r="CZ47" s="33"/>
      <c r="DA47" s="33"/>
      <c r="DB47" s="33"/>
      <c r="DC47" s="33"/>
      <c r="DD47" s="31" t="s">
        <v>234</v>
      </c>
      <c r="DE47" s="31" t="s">
        <v>234</v>
      </c>
      <c r="DF47" s="31" t="s">
        <v>234</v>
      </c>
      <c r="DG47" s="31" t="s">
        <v>234</v>
      </c>
      <c r="DH47" s="31" t="s">
        <v>234</v>
      </c>
      <c r="DI47" s="31" t="s">
        <v>234</v>
      </c>
      <c r="DJ47" s="31" t="s">
        <v>234</v>
      </c>
      <c r="DK47" s="33">
        <v>0</v>
      </c>
      <c r="DL47" s="33" t="e">
        <v>#DIV/0!</v>
      </c>
      <c r="DM47" s="33" t="e">
        <v>#DIV/0!</v>
      </c>
      <c r="DN47" s="33" t="e">
        <v>#DIV/0!</v>
      </c>
      <c r="DO47" s="33" t="e">
        <v>#DIV/0!</v>
      </c>
      <c r="DP47" s="33" t="e">
        <v>#DIV/0!</v>
      </c>
      <c r="DQ47" s="33" t="e">
        <v>#DIV/0!</v>
      </c>
      <c r="DR47" s="33" t="e">
        <v>#DIV/0!</v>
      </c>
      <c r="DS47" s="33"/>
      <c r="DT47" s="33"/>
      <c r="DU47" s="33"/>
      <c r="DV47" s="33"/>
      <c r="DW47" s="33"/>
      <c r="DX47" s="33"/>
      <c r="DY47" s="33"/>
      <c r="DZ47" s="33"/>
      <c r="EA47" s="33">
        <v>0</v>
      </c>
      <c r="EB47" s="33"/>
      <c r="EC47" s="33"/>
      <c r="ED47" s="33"/>
      <c r="EE47" s="33"/>
      <c r="EF47" s="33"/>
      <c r="EG47" s="33"/>
      <c r="EH47" s="33"/>
      <c r="EI47" s="33"/>
      <c r="EJ47" s="31" t="s">
        <v>234</v>
      </c>
      <c r="EK47" s="31" t="s">
        <v>234</v>
      </c>
      <c r="EL47" s="31" t="s">
        <v>234</v>
      </c>
      <c r="EM47" s="31" t="s">
        <v>234</v>
      </c>
      <c r="EN47" s="31" t="s">
        <v>234</v>
      </c>
      <c r="EO47" s="31" t="s">
        <v>234</v>
      </c>
      <c r="EP47" s="31" t="s">
        <v>234</v>
      </c>
      <c r="EQ47" s="33">
        <v>0</v>
      </c>
      <c r="ER47" s="33" t="e">
        <v>#DIV/0!</v>
      </c>
      <c r="ES47" s="33" t="e">
        <v>#DIV/0!</v>
      </c>
      <c r="ET47" s="33" t="e">
        <v>#DIV/0!</v>
      </c>
      <c r="EU47" s="33" t="e">
        <v>#DIV/0!</v>
      </c>
      <c r="EV47" s="33" t="e">
        <v>#DIV/0!</v>
      </c>
      <c r="EW47" s="33" t="e">
        <v>#DIV/0!</v>
      </c>
      <c r="EX47" s="33" t="e">
        <v>#DIV/0!</v>
      </c>
      <c r="EY47" s="33"/>
      <c r="EZ47" s="33"/>
      <c r="FA47" s="33"/>
      <c r="FB47" s="33"/>
      <c r="FC47" s="65"/>
      <c r="FD47" s="45">
        <v>44097</v>
      </c>
      <c r="FE47" s="30">
        <v>149</v>
      </c>
      <c r="FF47" s="33"/>
      <c r="FG47" s="33">
        <v>30</v>
      </c>
      <c r="FH47" s="33">
        <v>30</v>
      </c>
      <c r="FI47" s="33">
        <v>445</v>
      </c>
      <c r="FJ47" s="33">
        <v>40</v>
      </c>
      <c r="FK47" s="33">
        <v>50</v>
      </c>
      <c r="FL47" s="33">
        <v>60</v>
      </c>
      <c r="FM47" s="33">
        <v>240</v>
      </c>
      <c r="FN47" s="30">
        <v>25</v>
      </c>
      <c r="FO47" s="30">
        <v>30</v>
      </c>
      <c r="FP47" s="30">
        <v>30</v>
      </c>
      <c r="FQ47" s="30">
        <v>45</v>
      </c>
      <c r="FR47" s="30">
        <v>40</v>
      </c>
      <c r="FS47" s="30">
        <v>50</v>
      </c>
      <c r="FT47" s="30">
        <v>60</v>
      </c>
      <c r="FU47" s="30">
        <v>0</v>
      </c>
      <c r="FV47" s="31" t="s">
        <v>234</v>
      </c>
      <c r="FW47" s="31" t="s">
        <v>234</v>
      </c>
      <c r="FX47" s="31" t="s">
        <v>234</v>
      </c>
      <c r="FY47" s="31" t="s">
        <v>234</v>
      </c>
      <c r="FZ47" s="31" t="s">
        <v>234</v>
      </c>
      <c r="GA47" s="31" t="s">
        <v>234</v>
      </c>
      <c r="GB47" s="31" t="s">
        <v>234</v>
      </c>
      <c r="GC47" s="33">
        <v>40</v>
      </c>
      <c r="GD47" s="33">
        <v>35</v>
      </c>
      <c r="GE47" s="33">
        <v>28.333333333333332</v>
      </c>
      <c r="GF47" s="33">
        <v>42.5</v>
      </c>
      <c r="GG47" s="33">
        <v>36.666666666666664</v>
      </c>
      <c r="GH47" s="33">
        <v>41.25</v>
      </c>
      <c r="GI47" s="33">
        <v>6</v>
      </c>
      <c r="GJ47" s="33">
        <v>2</v>
      </c>
      <c r="GK47" s="33">
        <v>30</v>
      </c>
      <c r="GL47" s="33">
        <v>100</v>
      </c>
      <c r="GM47" s="33">
        <v>35</v>
      </c>
      <c r="GN47" s="33">
        <v>3</v>
      </c>
      <c r="GO47" s="33">
        <v>45</v>
      </c>
      <c r="GP47" s="33">
        <v>70</v>
      </c>
      <c r="GQ47" s="33">
        <v>60</v>
      </c>
      <c r="GR47" s="33">
        <v>65</v>
      </c>
      <c r="GS47" s="30">
        <v>40.75</v>
      </c>
      <c r="GT47" s="30">
        <v>75</v>
      </c>
      <c r="GU47" s="30">
        <v>80</v>
      </c>
      <c r="GV47" s="30">
        <v>95</v>
      </c>
      <c r="GW47" s="30">
        <v>700</v>
      </c>
      <c r="GX47" s="30">
        <v>95</v>
      </c>
      <c r="GY47" s="30">
        <v>115</v>
      </c>
      <c r="GZ47" s="30">
        <v>105</v>
      </c>
      <c r="HA47" s="30">
        <v>105</v>
      </c>
      <c r="HB47" s="31" t="s">
        <v>234</v>
      </c>
      <c r="HC47" s="31" t="s">
        <v>234</v>
      </c>
      <c r="HD47" s="31" t="s">
        <v>234</v>
      </c>
      <c r="HE47" s="31" t="s">
        <v>234</v>
      </c>
      <c r="HF47" s="31" t="s">
        <v>234</v>
      </c>
      <c r="HG47" s="31" t="s">
        <v>234</v>
      </c>
      <c r="HH47" s="31" t="s">
        <v>234</v>
      </c>
      <c r="HI47" s="30">
        <v>397.5</v>
      </c>
      <c r="HJ47" s="30">
        <v>220</v>
      </c>
      <c r="HK47" s="30">
        <v>83.333333333333329</v>
      </c>
      <c r="HL47" s="30">
        <v>397.5</v>
      </c>
      <c r="HM47" s="30">
        <v>108.33333333333333</v>
      </c>
      <c r="HN47" s="30">
        <v>251.25</v>
      </c>
      <c r="HO47" s="33">
        <v>5</v>
      </c>
      <c r="HP47" s="30">
        <v>5</v>
      </c>
      <c r="HQ47" s="33">
        <v>100</v>
      </c>
      <c r="HR47" s="33">
        <v>20</v>
      </c>
      <c r="HS47" s="31" t="s">
        <v>446</v>
      </c>
      <c r="HT47" s="31" t="s">
        <v>447</v>
      </c>
      <c r="HU47" s="65"/>
      <c r="HV47" s="45">
        <v>44328</v>
      </c>
      <c r="HW47" s="30">
        <v>380</v>
      </c>
      <c r="HX47" s="33"/>
      <c r="HY47" s="33">
        <v>20</v>
      </c>
      <c r="HZ47" s="33">
        <v>15</v>
      </c>
      <c r="IA47" s="33">
        <v>15</v>
      </c>
      <c r="IB47" s="33">
        <v>15</v>
      </c>
      <c r="IC47" s="33">
        <v>35</v>
      </c>
      <c r="ID47" s="33">
        <v>55</v>
      </c>
      <c r="IE47" s="30">
        <v>15</v>
      </c>
      <c r="IF47" s="30">
        <v>20</v>
      </c>
      <c r="IG47" s="30">
        <v>20</v>
      </c>
      <c r="IH47" s="30">
        <v>15</v>
      </c>
      <c r="II47" s="30">
        <v>15</v>
      </c>
      <c r="IJ47" s="30">
        <v>15</v>
      </c>
      <c r="IK47" s="30">
        <v>35</v>
      </c>
      <c r="IL47" s="30">
        <v>55</v>
      </c>
      <c r="IM47" s="30">
        <v>60</v>
      </c>
      <c r="IN47" s="31" t="s">
        <v>234</v>
      </c>
      <c r="IO47" s="31" t="s">
        <v>234</v>
      </c>
      <c r="IP47" s="31" t="s">
        <v>234</v>
      </c>
      <c r="IQ47" s="31" t="s">
        <v>234</v>
      </c>
      <c r="IR47" s="31" t="s">
        <v>234</v>
      </c>
      <c r="IS47" s="31" t="s">
        <v>234</v>
      </c>
      <c r="IT47" s="31" t="s">
        <v>234</v>
      </c>
      <c r="IU47" s="30">
        <v>15</v>
      </c>
      <c r="IV47" s="30">
        <v>32</v>
      </c>
      <c r="IW47" s="30">
        <v>18.333333333333332</v>
      </c>
      <c r="IX47" s="30">
        <v>15</v>
      </c>
      <c r="IY47" s="30">
        <v>50</v>
      </c>
      <c r="IZ47" s="30">
        <v>20</v>
      </c>
      <c r="JA47" s="33">
        <v>6</v>
      </c>
      <c r="JB47" s="30">
        <v>0</v>
      </c>
      <c r="JC47" s="33">
        <v>25</v>
      </c>
      <c r="JD47" s="33">
        <v>100</v>
      </c>
      <c r="JE47" s="33">
        <v>20</v>
      </c>
      <c r="JF47" s="33">
        <v>30</v>
      </c>
      <c r="JG47" s="33">
        <v>45</v>
      </c>
      <c r="JH47" s="33">
        <v>65</v>
      </c>
      <c r="JI47" s="33">
        <v>60</v>
      </c>
      <c r="JJ47" s="33">
        <v>60</v>
      </c>
      <c r="JK47" s="30">
        <v>46.25</v>
      </c>
      <c r="JL47" s="30">
        <v>70</v>
      </c>
      <c r="JM47" s="30">
        <v>70</v>
      </c>
      <c r="JN47" s="30">
        <v>75</v>
      </c>
      <c r="JO47" s="30">
        <v>85</v>
      </c>
      <c r="JP47" s="30">
        <v>85</v>
      </c>
      <c r="JQ47" s="30">
        <v>100</v>
      </c>
      <c r="JR47" s="30">
        <v>105</v>
      </c>
      <c r="JS47" s="30">
        <v>95</v>
      </c>
      <c r="JT47" s="31" t="s">
        <v>234</v>
      </c>
      <c r="JU47" s="31" t="s">
        <v>234</v>
      </c>
      <c r="JV47" s="31" t="s">
        <v>234</v>
      </c>
      <c r="JW47" s="31" t="s">
        <v>234</v>
      </c>
      <c r="JX47" s="31" t="s">
        <v>234</v>
      </c>
      <c r="JY47" s="31" t="s">
        <v>234</v>
      </c>
      <c r="JZ47" s="31" t="s">
        <v>234</v>
      </c>
      <c r="KA47" s="30">
        <v>82.5</v>
      </c>
      <c r="KB47" s="30">
        <v>89</v>
      </c>
      <c r="KC47" s="30">
        <v>71.666666666666671</v>
      </c>
      <c r="KD47" s="30">
        <v>85</v>
      </c>
      <c r="KE47" s="30">
        <v>100</v>
      </c>
      <c r="KF47" s="30">
        <v>86.25</v>
      </c>
      <c r="KG47" s="33">
        <v>3</v>
      </c>
      <c r="KH47" s="30">
        <v>4</v>
      </c>
      <c r="KI47" s="33">
        <v>85</v>
      </c>
      <c r="KJ47" s="33">
        <v>100</v>
      </c>
      <c r="KK47" s="33" t="s">
        <v>448</v>
      </c>
      <c r="KL47" s="33" t="s">
        <v>449</v>
      </c>
      <c r="KM47" s="33"/>
    </row>
    <row r="48" spans="1:299" s="1" customFormat="1" ht="33">
      <c r="A48" s="8" t="s">
        <v>638</v>
      </c>
      <c r="B48" s="1">
        <v>68</v>
      </c>
      <c r="C48" s="20">
        <v>60</v>
      </c>
      <c r="D48" s="1">
        <v>1</v>
      </c>
      <c r="E48" s="1" t="s">
        <v>588</v>
      </c>
      <c r="F48" s="1">
        <v>21102</v>
      </c>
      <c r="G48" s="12" t="s">
        <v>38</v>
      </c>
      <c r="H48" s="12" t="s">
        <v>39</v>
      </c>
      <c r="I48" s="12" t="s">
        <v>22</v>
      </c>
      <c r="J48" s="13">
        <v>45030</v>
      </c>
      <c r="K48" s="30" t="s">
        <v>674</v>
      </c>
      <c r="L48" s="30" t="s">
        <v>702</v>
      </c>
      <c r="M48" s="15" t="s">
        <v>114</v>
      </c>
      <c r="N48" s="14" t="s">
        <v>134</v>
      </c>
      <c r="O48" s="1">
        <v>0</v>
      </c>
      <c r="T48" s="60">
        <v>45012</v>
      </c>
      <c r="U48" s="30">
        <v>-18</v>
      </c>
      <c r="V48" s="31" t="s">
        <v>570</v>
      </c>
      <c r="W48" s="31">
        <v>20</v>
      </c>
      <c r="X48" s="31">
        <v>15</v>
      </c>
      <c r="Y48" s="30">
        <v>15</v>
      </c>
      <c r="Z48" s="30">
        <v>10</v>
      </c>
      <c r="AA48" s="30">
        <v>30</v>
      </c>
      <c r="AB48" s="30">
        <v>45</v>
      </c>
      <c r="AC48" s="33">
        <v>13.75</v>
      </c>
      <c r="AD48" s="30">
        <v>25</v>
      </c>
      <c r="AE48" s="30">
        <v>25</v>
      </c>
      <c r="AF48" s="30">
        <v>15</v>
      </c>
      <c r="AG48" s="30">
        <v>15</v>
      </c>
      <c r="AH48" s="30">
        <v>10</v>
      </c>
      <c r="AI48" s="30">
        <v>30</v>
      </c>
      <c r="AJ48" s="30">
        <v>50</v>
      </c>
      <c r="AK48" s="30">
        <v>55</v>
      </c>
      <c r="AL48" s="31" t="s">
        <v>234</v>
      </c>
      <c r="AM48" s="31" t="s">
        <v>234</v>
      </c>
      <c r="AN48" s="31" t="s">
        <v>234</v>
      </c>
      <c r="AO48" s="31" t="s">
        <v>234</v>
      </c>
      <c r="AP48" s="31" t="s">
        <v>234</v>
      </c>
      <c r="AQ48" s="31" t="s">
        <v>234</v>
      </c>
      <c r="AR48" s="31" t="s">
        <v>234</v>
      </c>
      <c r="AS48" s="33">
        <v>13.75</v>
      </c>
      <c r="AT48" s="33">
        <v>29</v>
      </c>
      <c r="AU48" s="33">
        <v>21.666666666666668</v>
      </c>
      <c r="AV48" s="33">
        <v>12.5</v>
      </c>
      <c r="AW48" s="33">
        <v>45</v>
      </c>
      <c r="AX48" s="33">
        <v>17.5</v>
      </c>
      <c r="AY48" s="34" t="s">
        <v>235</v>
      </c>
      <c r="AZ48" s="33">
        <v>0</v>
      </c>
      <c r="BA48" s="30">
        <v>20</v>
      </c>
      <c r="BB48" s="30">
        <v>100</v>
      </c>
      <c r="BC48" s="30">
        <v>20</v>
      </c>
      <c r="BD48" s="30">
        <v>40</v>
      </c>
      <c r="BE48" s="30">
        <v>30</v>
      </c>
      <c r="BF48" s="30">
        <v>40</v>
      </c>
      <c r="BG48" s="30">
        <v>45</v>
      </c>
      <c r="BH48" s="30">
        <v>30</v>
      </c>
      <c r="BI48" s="33">
        <v>35</v>
      </c>
      <c r="BJ48" s="47">
        <v>90</v>
      </c>
      <c r="BK48" s="30">
        <v>90</v>
      </c>
      <c r="BL48" s="30">
        <v>80</v>
      </c>
      <c r="BM48" s="30">
        <v>75</v>
      </c>
      <c r="BN48" s="30">
        <v>75</v>
      </c>
      <c r="BO48" s="30">
        <v>75</v>
      </c>
      <c r="BP48" s="30">
        <v>55</v>
      </c>
      <c r="BQ48" s="30">
        <v>85</v>
      </c>
      <c r="BR48" s="31" t="s">
        <v>234</v>
      </c>
      <c r="BS48" s="31" t="s">
        <v>234</v>
      </c>
      <c r="BT48" s="31" t="s">
        <v>234</v>
      </c>
      <c r="BU48" s="31" t="s">
        <v>234</v>
      </c>
      <c r="BV48" s="31" t="s">
        <v>234</v>
      </c>
      <c r="BW48" s="31" t="s">
        <v>234</v>
      </c>
      <c r="BX48" s="31" t="s">
        <v>234</v>
      </c>
      <c r="BY48" s="33">
        <v>76.25</v>
      </c>
      <c r="BZ48" s="33">
        <v>74</v>
      </c>
      <c r="CA48" s="33">
        <v>86.666666666666671</v>
      </c>
      <c r="CB48" s="33">
        <v>75</v>
      </c>
      <c r="CC48" s="33">
        <v>71.666666666666671</v>
      </c>
      <c r="CD48" s="33">
        <v>76.25</v>
      </c>
      <c r="CE48" s="31" t="s">
        <v>235</v>
      </c>
      <c r="CF48" s="33">
        <v>3</v>
      </c>
      <c r="CG48" s="30">
        <v>75</v>
      </c>
      <c r="CH48" s="30">
        <v>64</v>
      </c>
      <c r="CI48" s="30"/>
      <c r="CJ48" s="30"/>
      <c r="CK48" s="30" t="s">
        <v>450</v>
      </c>
      <c r="CL48" s="45" t="e">
        <v>#REF!</v>
      </c>
      <c r="CM48" s="30" t="e">
        <v>#REF!</v>
      </c>
      <c r="CN48" s="30"/>
      <c r="CO48" s="30"/>
      <c r="CP48" s="30"/>
      <c r="CQ48" s="30"/>
      <c r="CR48" s="30"/>
      <c r="CS48" s="30"/>
      <c r="CT48" s="30"/>
      <c r="CU48" s="33">
        <v>0</v>
      </c>
      <c r="CV48" s="30"/>
      <c r="CW48" s="30"/>
      <c r="CX48" s="30"/>
      <c r="CY48" s="30"/>
      <c r="CZ48" s="30"/>
      <c r="DA48" s="30"/>
      <c r="DB48" s="30"/>
      <c r="DC48" s="30"/>
      <c r="DD48" s="30" t="s">
        <v>277</v>
      </c>
      <c r="DE48" s="30" t="s">
        <v>277</v>
      </c>
      <c r="DF48" s="30" t="s">
        <v>277</v>
      </c>
      <c r="DG48" s="30" t="s">
        <v>277</v>
      </c>
      <c r="DH48" s="30" t="s">
        <v>277</v>
      </c>
      <c r="DI48" s="30" t="s">
        <v>277</v>
      </c>
      <c r="DJ48" s="30" t="s">
        <v>277</v>
      </c>
      <c r="DK48" s="33">
        <v>0</v>
      </c>
      <c r="DL48" s="33" t="e">
        <v>#DIV/0!</v>
      </c>
      <c r="DM48" s="33" t="e">
        <v>#DIV/0!</v>
      </c>
      <c r="DN48" s="33" t="e">
        <v>#DIV/0!</v>
      </c>
      <c r="DO48" s="33" t="e">
        <v>#DIV/0!</v>
      </c>
      <c r="DP48" s="33" t="e">
        <v>#DIV/0!</v>
      </c>
      <c r="DQ48" s="30" t="e">
        <v>#DIV/0!</v>
      </c>
      <c r="DR48" s="33" t="e">
        <v>#DIV/0!</v>
      </c>
      <c r="DS48" s="30"/>
      <c r="DT48" s="30"/>
      <c r="DU48" s="30"/>
      <c r="DV48" s="30"/>
      <c r="DW48" s="30"/>
      <c r="DX48" s="30"/>
      <c r="DY48" s="30"/>
      <c r="DZ48" s="30"/>
      <c r="EA48" s="33">
        <v>0</v>
      </c>
      <c r="EB48" s="30"/>
      <c r="EC48" s="30"/>
      <c r="ED48" s="30"/>
      <c r="EE48" s="30"/>
      <c r="EF48" s="30"/>
      <c r="EG48" s="30"/>
      <c r="EH48" s="30"/>
      <c r="EI48" s="30"/>
      <c r="EJ48" s="30" t="s">
        <v>277</v>
      </c>
      <c r="EK48" s="30" t="s">
        <v>277</v>
      </c>
      <c r="EL48" s="30" t="s">
        <v>277</v>
      </c>
      <c r="EM48" s="30" t="s">
        <v>277</v>
      </c>
      <c r="EN48" s="30" t="s">
        <v>277</v>
      </c>
      <c r="EO48" s="30" t="s">
        <v>277</v>
      </c>
      <c r="EP48" s="30" t="s">
        <v>277</v>
      </c>
      <c r="EQ48" s="33">
        <v>0</v>
      </c>
      <c r="ER48" s="33" t="e">
        <v>#DIV/0!</v>
      </c>
      <c r="ES48" s="33" t="e">
        <v>#DIV/0!</v>
      </c>
      <c r="ET48" s="33" t="e">
        <v>#DIV/0!</v>
      </c>
      <c r="EU48" s="33" t="e">
        <v>#DIV/0!</v>
      </c>
      <c r="EV48" s="33" t="e">
        <v>#DIV/0!</v>
      </c>
      <c r="EW48" s="30" t="e">
        <v>#DIV/0!</v>
      </c>
      <c r="EX48" s="33" t="e">
        <v>#DIV/0!</v>
      </c>
      <c r="EY48" s="30"/>
      <c r="EZ48" s="30"/>
      <c r="FA48" s="30"/>
      <c r="FB48" s="30"/>
      <c r="FC48" s="30"/>
      <c r="FD48" s="46"/>
      <c r="FE48" s="30">
        <v>-45030</v>
      </c>
      <c r="FF48" s="30"/>
      <c r="FG48" s="30"/>
      <c r="FH48" s="30"/>
      <c r="FI48" s="30"/>
      <c r="FJ48" s="30"/>
      <c r="FK48" s="30"/>
      <c r="FL48" s="30"/>
      <c r="FM48" s="33">
        <v>0</v>
      </c>
      <c r="FN48" s="30"/>
      <c r="FO48" s="30"/>
      <c r="FP48" s="30"/>
      <c r="FQ48" s="30"/>
      <c r="FR48" s="30"/>
      <c r="FS48" s="30"/>
      <c r="FT48" s="30"/>
      <c r="FU48" s="30"/>
      <c r="FV48" s="30" t="s">
        <v>234</v>
      </c>
      <c r="FW48" s="30" t="s">
        <v>234</v>
      </c>
      <c r="FX48" s="30" t="s">
        <v>234</v>
      </c>
      <c r="FY48" s="30" t="s">
        <v>234</v>
      </c>
      <c r="FZ48" s="30" t="s">
        <v>234</v>
      </c>
      <c r="GA48" s="30" t="s">
        <v>234</v>
      </c>
      <c r="GB48" s="30" t="s">
        <v>234</v>
      </c>
      <c r="GC48" s="33">
        <v>0</v>
      </c>
      <c r="GD48" s="33" t="e">
        <v>#DIV/0!</v>
      </c>
      <c r="GE48" s="33" t="e">
        <v>#DIV/0!</v>
      </c>
      <c r="GF48" s="33" t="e">
        <v>#DIV/0!</v>
      </c>
      <c r="GG48" s="33" t="e">
        <v>#DIV/0!</v>
      </c>
      <c r="GH48" s="33" t="e">
        <v>#DIV/0!</v>
      </c>
      <c r="GI48" s="30" t="e">
        <v>#DIV/0!</v>
      </c>
      <c r="GJ48" s="33" t="e">
        <v>#DIV/0!</v>
      </c>
      <c r="GK48" s="30"/>
      <c r="GL48" s="30"/>
      <c r="GM48" s="30"/>
      <c r="GN48" s="30"/>
      <c r="GO48" s="30"/>
      <c r="GP48" s="30"/>
      <c r="GQ48" s="30"/>
      <c r="GR48" s="30"/>
      <c r="GS48" s="30">
        <v>0</v>
      </c>
      <c r="GT48" s="30"/>
      <c r="GU48" s="30"/>
      <c r="GV48" s="30"/>
      <c r="GW48" s="30"/>
      <c r="GX48" s="30"/>
      <c r="GY48" s="30"/>
      <c r="GZ48" s="30"/>
      <c r="HA48" s="30"/>
      <c r="HB48" s="30" t="s">
        <v>277</v>
      </c>
      <c r="HC48" s="30" t="s">
        <v>277</v>
      </c>
      <c r="HD48" s="30" t="s">
        <v>277</v>
      </c>
      <c r="HE48" s="30" t="s">
        <v>277</v>
      </c>
      <c r="HF48" s="30" t="s">
        <v>277</v>
      </c>
      <c r="HG48" s="30" t="s">
        <v>277</v>
      </c>
      <c r="HH48" s="30" t="s">
        <v>277</v>
      </c>
      <c r="HI48" s="30">
        <v>0</v>
      </c>
      <c r="HJ48" s="30" t="e">
        <v>#DIV/0!</v>
      </c>
      <c r="HK48" s="30" t="e">
        <v>#DIV/0!</v>
      </c>
      <c r="HL48" s="30" t="e">
        <v>#DIV/0!</v>
      </c>
      <c r="HM48" s="30" t="e">
        <v>#DIV/0!</v>
      </c>
      <c r="HN48" s="30" t="e">
        <v>#DIV/0!</v>
      </c>
      <c r="HO48" s="30" t="e">
        <v>#DIV/0!</v>
      </c>
      <c r="HP48" s="30" t="e">
        <v>#DIV/0!</v>
      </c>
      <c r="HQ48" s="30"/>
      <c r="HR48" s="30"/>
      <c r="HS48" s="30"/>
      <c r="HT48" s="30"/>
      <c r="HU48" s="30"/>
      <c r="HV48" s="46"/>
      <c r="HW48" s="30">
        <v>-45030</v>
      </c>
      <c r="HX48" s="30"/>
      <c r="HY48" s="30"/>
      <c r="HZ48" s="30"/>
      <c r="IA48" s="30"/>
      <c r="IB48" s="30"/>
      <c r="IC48" s="30"/>
      <c r="ID48" s="30"/>
      <c r="IE48" s="30">
        <v>0</v>
      </c>
      <c r="IF48" s="30"/>
      <c r="IG48" s="30"/>
      <c r="IH48" s="30"/>
      <c r="II48" s="30"/>
      <c r="IJ48" s="30"/>
      <c r="IK48" s="30"/>
      <c r="IL48" s="30"/>
      <c r="IM48" s="30"/>
      <c r="IN48" s="30" t="s">
        <v>277</v>
      </c>
      <c r="IO48" s="30" t="s">
        <v>277</v>
      </c>
      <c r="IP48" s="30" t="s">
        <v>277</v>
      </c>
      <c r="IQ48" s="30" t="s">
        <v>277</v>
      </c>
      <c r="IR48" s="30" t="s">
        <v>277</v>
      </c>
      <c r="IS48" s="30" t="s">
        <v>277</v>
      </c>
      <c r="IT48" s="30" t="s">
        <v>277</v>
      </c>
      <c r="IU48" s="30">
        <v>0</v>
      </c>
      <c r="IV48" s="30" t="e">
        <v>#DIV/0!</v>
      </c>
      <c r="IW48" s="30" t="e">
        <v>#DIV/0!</v>
      </c>
      <c r="IX48" s="30" t="e">
        <v>#DIV/0!</v>
      </c>
      <c r="IY48" s="30" t="e">
        <v>#DIV/0!</v>
      </c>
      <c r="IZ48" s="30" t="e">
        <v>#DIV/0!</v>
      </c>
      <c r="JA48" s="30" t="e">
        <v>#DIV/0!</v>
      </c>
      <c r="JB48" s="30" t="e">
        <v>#DIV/0!</v>
      </c>
      <c r="JC48" s="30"/>
      <c r="JD48" s="30"/>
      <c r="JE48" s="30"/>
      <c r="JF48" s="30"/>
      <c r="JG48" s="30"/>
      <c r="JH48" s="30"/>
      <c r="JI48" s="30"/>
      <c r="JJ48" s="30"/>
      <c r="JK48" s="30">
        <v>0</v>
      </c>
      <c r="JL48" s="30"/>
      <c r="JM48" s="30"/>
      <c r="JN48" s="30"/>
      <c r="JO48" s="30"/>
      <c r="JP48" s="30"/>
      <c r="JQ48" s="30"/>
      <c r="JR48" s="30"/>
      <c r="JS48" s="30"/>
      <c r="JT48" s="30" t="s">
        <v>277</v>
      </c>
      <c r="JU48" s="30" t="s">
        <v>277</v>
      </c>
      <c r="JV48" s="30" t="s">
        <v>277</v>
      </c>
      <c r="JW48" s="30" t="s">
        <v>277</v>
      </c>
      <c r="JX48" s="30" t="s">
        <v>277</v>
      </c>
      <c r="JY48" s="30" t="s">
        <v>277</v>
      </c>
      <c r="JZ48" s="30" t="s">
        <v>277</v>
      </c>
      <c r="KA48" s="30">
        <v>0</v>
      </c>
      <c r="KB48" s="30" t="e">
        <v>#DIV/0!</v>
      </c>
      <c r="KC48" s="30" t="e">
        <v>#DIV/0!</v>
      </c>
      <c r="KD48" s="30" t="e">
        <v>#DIV/0!</v>
      </c>
      <c r="KE48" s="30" t="e">
        <v>#DIV/0!</v>
      </c>
      <c r="KF48" s="30" t="e">
        <v>#DIV/0!</v>
      </c>
      <c r="KG48" s="30" t="e">
        <v>#DIV/0!</v>
      </c>
      <c r="KH48" s="30" t="e">
        <v>#DIV/0!</v>
      </c>
      <c r="KI48" s="30"/>
      <c r="KJ48" s="30"/>
      <c r="KK48" s="30"/>
      <c r="KL48" s="30"/>
      <c r="KM48" s="30"/>
    </row>
    <row r="49" spans="1:299" s="1" customFormat="1" ht="49.5">
      <c r="A49" s="8" t="s">
        <v>639</v>
      </c>
      <c r="B49" s="1">
        <v>29</v>
      </c>
      <c r="C49" s="20">
        <v>20</v>
      </c>
      <c r="D49" s="1">
        <v>1</v>
      </c>
      <c r="E49" s="1" t="s">
        <v>590</v>
      </c>
      <c r="F49" s="1">
        <v>21097</v>
      </c>
      <c r="G49" s="12" t="s">
        <v>103</v>
      </c>
      <c r="H49" s="12" t="s">
        <v>107</v>
      </c>
      <c r="I49" s="12" t="s">
        <v>22</v>
      </c>
      <c r="J49" s="10">
        <v>44670</v>
      </c>
      <c r="K49" s="30" t="s">
        <v>661</v>
      </c>
      <c r="L49" s="79" t="s">
        <v>722</v>
      </c>
      <c r="M49" s="12" t="s">
        <v>142</v>
      </c>
      <c r="N49" s="12" t="s">
        <v>112</v>
      </c>
      <c r="T49" s="10">
        <v>44669</v>
      </c>
      <c r="U49" s="30">
        <v>-1</v>
      </c>
      <c r="W49" s="1">
        <v>10</v>
      </c>
      <c r="X49" s="1">
        <v>15</v>
      </c>
      <c r="Y49" s="1">
        <v>10</v>
      </c>
      <c r="Z49" s="1">
        <v>5</v>
      </c>
      <c r="AA49" s="1">
        <v>15</v>
      </c>
      <c r="AB49" s="1">
        <v>20</v>
      </c>
      <c r="AC49" s="1">
        <v>10</v>
      </c>
      <c r="AD49" s="1">
        <v>10</v>
      </c>
      <c r="AE49" s="1">
        <v>10</v>
      </c>
      <c r="AF49" s="1">
        <v>15</v>
      </c>
      <c r="AG49" s="1">
        <v>10</v>
      </c>
      <c r="AH49" s="1">
        <v>5</v>
      </c>
      <c r="AI49" s="1">
        <v>20</v>
      </c>
      <c r="AJ49" s="1">
        <v>20</v>
      </c>
      <c r="AK49" s="1">
        <v>5</v>
      </c>
      <c r="AS49" s="33">
        <v>10</v>
      </c>
      <c r="AT49" s="33">
        <v>11</v>
      </c>
      <c r="AU49" s="33">
        <v>11.666666666666666</v>
      </c>
      <c r="AV49" s="33">
        <v>7.5</v>
      </c>
      <c r="AW49" s="33">
        <v>15</v>
      </c>
      <c r="AX49" s="33">
        <v>12.5</v>
      </c>
      <c r="AY49" s="1">
        <v>4</v>
      </c>
      <c r="AZ49" s="33">
        <v>0</v>
      </c>
      <c r="BA49" s="1">
        <v>15</v>
      </c>
      <c r="BB49" s="1">
        <v>100</v>
      </c>
      <c r="BC49" s="1">
        <v>10</v>
      </c>
      <c r="BD49" s="1">
        <v>20</v>
      </c>
      <c r="BE49" s="1">
        <v>5</v>
      </c>
      <c r="BF49" s="1">
        <v>25</v>
      </c>
      <c r="BG49" s="1">
        <v>20</v>
      </c>
      <c r="BH49" s="1">
        <v>30</v>
      </c>
      <c r="BI49" s="33">
        <v>13.75</v>
      </c>
      <c r="BJ49" s="1">
        <v>20</v>
      </c>
      <c r="BK49" s="1">
        <v>20</v>
      </c>
      <c r="BL49" s="1">
        <v>30</v>
      </c>
      <c r="BM49" s="1">
        <v>30</v>
      </c>
      <c r="BN49" s="1">
        <v>25</v>
      </c>
      <c r="BO49" s="1">
        <v>25</v>
      </c>
      <c r="BP49" s="1">
        <v>35</v>
      </c>
      <c r="BQ49" s="1">
        <v>30</v>
      </c>
      <c r="BY49" s="33">
        <v>28.75</v>
      </c>
      <c r="BZ49" s="33">
        <v>30</v>
      </c>
      <c r="CA49" s="33">
        <v>23.333333333333332</v>
      </c>
      <c r="CB49" s="33">
        <v>27.5</v>
      </c>
      <c r="CC49" s="33">
        <v>30</v>
      </c>
      <c r="CD49" s="33">
        <v>27.5</v>
      </c>
      <c r="CE49" s="1">
        <v>6</v>
      </c>
      <c r="CF49" s="33">
        <v>1</v>
      </c>
      <c r="CG49" s="1">
        <v>30</v>
      </c>
      <c r="CH49" s="1">
        <v>100</v>
      </c>
      <c r="CK49" s="22"/>
      <c r="CL49" s="10">
        <v>44720</v>
      </c>
      <c r="CM49" s="30">
        <v>50</v>
      </c>
      <c r="CO49" s="1">
        <v>10</v>
      </c>
      <c r="CP49" s="1">
        <v>10</v>
      </c>
      <c r="CQ49" s="1">
        <v>5</v>
      </c>
      <c r="CR49" s="1">
        <v>10</v>
      </c>
      <c r="CS49" s="1">
        <v>15</v>
      </c>
      <c r="CT49" s="1">
        <v>15</v>
      </c>
      <c r="CU49" s="33">
        <v>7.5</v>
      </c>
      <c r="CV49" s="1">
        <v>10</v>
      </c>
      <c r="CW49" s="1">
        <v>10</v>
      </c>
      <c r="CX49" s="1">
        <v>10</v>
      </c>
      <c r="CY49" s="1">
        <v>5</v>
      </c>
      <c r="CZ49" s="1">
        <v>10</v>
      </c>
      <c r="DA49" s="1">
        <v>15</v>
      </c>
      <c r="DB49" s="1">
        <v>15</v>
      </c>
      <c r="DC49" s="1">
        <v>5</v>
      </c>
      <c r="DK49" s="33">
        <v>7.5</v>
      </c>
      <c r="DL49" s="33">
        <v>9</v>
      </c>
      <c r="DM49" s="33">
        <v>10</v>
      </c>
      <c r="DN49" s="33">
        <v>7.5</v>
      </c>
      <c r="DO49" s="33">
        <v>11.666666666666666</v>
      </c>
      <c r="DP49" s="33">
        <v>10</v>
      </c>
      <c r="DQ49" s="1">
        <v>4</v>
      </c>
      <c r="DR49" s="33">
        <v>0</v>
      </c>
      <c r="DS49" s="1">
        <v>15</v>
      </c>
      <c r="DT49" s="1">
        <v>100</v>
      </c>
      <c r="DU49" s="1">
        <v>15</v>
      </c>
      <c r="DV49" s="1">
        <v>30</v>
      </c>
      <c r="DW49" s="1">
        <v>10</v>
      </c>
      <c r="DX49" s="1">
        <v>20</v>
      </c>
      <c r="DY49" s="1">
        <v>30</v>
      </c>
      <c r="DZ49" s="1">
        <v>25</v>
      </c>
      <c r="EA49" s="33">
        <v>17.5</v>
      </c>
      <c r="EB49" s="1">
        <v>30</v>
      </c>
      <c r="EC49" s="1">
        <v>40</v>
      </c>
      <c r="ED49" s="1">
        <v>45</v>
      </c>
      <c r="EE49" s="1">
        <v>40</v>
      </c>
      <c r="EF49" s="1">
        <v>25</v>
      </c>
      <c r="EG49" s="1">
        <v>30</v>
      </c>
      <c r="EH49" s="1">
        <v>35</v>
      </c>
      <c r="EI49" s="1">
        <v>35</v>
      </c>
      <c r="EQ49" s="33">
        <v>37.5</v>
      </c>
      <c r="ER49" s="33">
        <v>36</v>
      </c>
      <c r="ES49" s="33">
        <v>38.333333333333336</v>
      </c>
      <c r="ET49" s="33">
        <v>32.5</v>
      </c>
      <c r="EU49" s="33">
        <v>33.333333333333336</v>
      </c>
      <c r="EV49" s="33">
        <v>35</v>
      </c>
      <c r="EW49" s="1">
        <v>6</v>
      </c>
      <c r="EX49" s="33">
        <v>1</v>
      </c>
      <c r="EY49" s="1">
        <v>40</v>
      </c>
      <c r="EZ49" s="1">
        <v>100</v>
      </c>
      <c r="FC49" s="22"/>
      <c r="FD49" s="10">
        <v>44909</v>
      </c>
      <c r="FE49" s="30">
        <v>239</v>
      </c>
      <c r="FG49" s="1">
        <v>5</v>
      </c>
      <c r="FH49" s="1">
        <v>10</v>
      </c>
      <c r="FI49" s="1">
        <v>0</v>
      </c>
      <c r="FJ49" s="1">
        <v>5</v>
      </c>
      <c r="FK49" s="1">
        <v>15</v>
      </c>
      <c r="FL49" s="1">
        <v>10</v>
      </c>
      <c r="FM49" s="33">
        <v>3.75</v>
      </c>
      <c r="FN49" s="1">
        <v>5</v>
      </c>
      <c r="FO49" s="1">
        <v>5</v>
      </c>
      <c r="FP49" s="1">
        <v>10</v>
      </c>
      <c r="FQ49" s="1">
        <v>0</v>
      </c>
      <c r="FR49" s="1">
        <v>5</v>
      </c>
      <c r="FS49" s="1">
        <v>15</v>
      </c>
      <c r="FT49" s="1">
        <v>10</v>
      </c>
      <c r="FU49" s="1">
        <v>5</v>
      </c>
      <c r="GC49" s="33">
        <v>3.75</v>
      </c>
      <c r="GD49" s="33">
        <v>6</v>
      </c>
      <c r="GE49" s="33">
        <v>6.666666666666667</v>
      </c>
      <c r="GF49" s="33">
        <v>2.5</v>
      </c>
      <c r="GG49" s="33">
        <v>10</v>
      </c>
      <c r="GH49" s="33">
        <v>7.5</v>
      </c>
      <c r="GI49" s="1">
        <v>4</v>
      </c>
      <c r="GJ49" s="33">
        <v>0</v>
      </c>
      <c r="GK49" s="1">
        <v>15</v>
      </c>
      <c r="GL49" s="1">
        <v>100</v>
      </c>
      <c r="GM49" s="1">
        <v>5</v>
      </c>
      <c r="GN49" s="1">
        <v>15</v>
      </c>
      <c r="GO49" s="1">
        <v>0</v>
      </c>
      <c r="GP49" s="1">
        <v>15</v>
      </c>
      <c r="GQ49" s="1">
        <v>30</v>
      </c>
      <c r="GR49" s="1">
        <v>20</v>
      </c>
      <c r="GS49" s="30">
        <v>7.5</v>
      </c>
      <c r="GT49" s="1">
        <v>25</v>
      </c>
      <c r="GU49" s="1">
        <v>25</v>
      </c>
      <c r="GV49" s="1">
        <v>30</v>
      </c>
      <c r="GW49" s="1">
        <v>30</v>
      </c>
      <c r="GX49" s="1">
        <v>15</v>
      </c>
      <c r="GY49" s="1">
        <v>40</v>
      </c>
      <c r="GZ49" s="1">
        <v>30</v>
      </c>
      <c r="HA49" s="1">
        <v>40</v>
      </c>
      <c r="HI49" s="30">
        <v>26.25</v>
      </c>
      <c r="HJ49" s="30">
        <v>29</v>
      </c>
      <c r="HK49" s="30">
        <v>26.666666666666668</v>
      </c>
      <c r="HL49" s="30">
        <v>22.5</v>
      </c>
      <c r="HM49" s="30">
        <v>36.666666666666664</v>
      </c>
      <c r="HN49" s="30">
        <v>28.75</v>
      </c>
      <c r="HO49" s="1">
        <v>6</v>
      </c>
      <c r="HP49" s="30">
        <v>1</v>
      </c>
      <c r="HQ49" s="1">
        <v>30</v>
      </c>
      <c r="HR49" s="1">
        <v>100</v>
      </c>
      <c r="HV49" s="10">
        <v>45131</v>
      </c>
      <c r="HW49" s="30">
        <v>461</v>
      </c>
      <c r="HY49" s="1">
        <v>5</v>
      </c>
      <c r="HZ49" s="1">
        <v>15</v>
      </c>
      <c r="IA49" s="1">
        <v>10</v>
      </c>
      <c r="IB49" s="1">
        <v>5</v>
      </c>
      <c r="IC49" s="1">
        <v>15</v>
      </c>
      <c r="ID49" s="1">
        <v>20</v>
      </c>
      <c r="IE49" s="30">
        <v>10</v>
      </c>
      <c r="IF49" s="1">
        <v>10</v>
      </c>
      <c r="IG49" s="1">
        <v>10</v>
      </c>
      <c r="IH49" s="1">
        <v>15</v>
      </c>
      <c r="II49" s="1">
        <v>10</v>
      </c>
      <c r="IJ49" s="1">
        <v>5</v>
      </c>
      <c r="IK49" s="1">
        <v>15</v>
      </c>
      <c r="IL49" s="1">
        <v>20</v>
      </c>
      <c r="IM49" s="1">
        <v>15</v>
      </c>
      <c r="IU49" s="30">
        <v>10</v>
      </c>
      <c r="IV49" s="30">
        <v>13</v>
      </c>
      <c r="IW49" s="30">
        <v>11.666666666666666</v>
      </c>
      <c r="IX49" s="30">
        <v>7.5</v>
      </c>
      <c r="IY49" s="30">
        <v>16.666666666666668</v>
      </c>
      <c r="IZ49" s="30">
        <v>11.25</v>
      </c>
      <c r="JA49" s="1">
        <v>4</v>
      </c>
      <c r="JB49" s="30">
        <v>0</v>
      </c>
      <c r="JC49" s="1">
        <v>10</v>
      </c>
      <c r="JD49" s="1">
        <v>100</v>
      </c>
      <c r="JE49" s="1">
        <v>0</v>
      </c>
      <c r="JF49" s="1">
        <v>20</v>
      </c>
      <c r="JG49" s="1">
        <v>15</v>
      </c>
      <c r="JH49" s="1">
        <v>30</v>
      </c>
      <c r="JI49" s="1">
        <v>40</v>
      </c>
      <c r="JJ49" s="1">
        <v>30</v>
      </c>
      <c r="JK49" s="30">
        <v>20</v>
      </c>
      <c r="JL49" s="1">
        <v>30</v>
      </c>
      <c r="JM49" s="1">
        <v>35</v>
      </c>
      <c r="JN49" s="1">
        <v>45</v>
      </c>
      <c r="JO49" s="1">
        <v>40</v>
      </c>
      <c r="JP49" s="1">
        <v>30</v>
      </c>
      <c r="JQ49" s="1">
        <v>45</v>
      </c>
      <c r="JR49" s="1">
        <v>45</v>
      </c>
      <c r="JS49" s="1">
        <v>35</v>
      </c>
      <c r="KA49" s="30">
        <v>38.75</v>
      </c>
      <c r="KB49" s="30">
        <v>39</v>
      </c>
      <c r="KC49" s="30">
        <v>36.666666666666664</v>
      </c>
      <c r="KD49" s="30">
        <v>35</v>
      </c>
      <c r="KE49" s="30">
        <v>41.666666666666664</v>
      </c>
      <c r="KF49" s="30">
        <v>40</v>
      </c>
      <c r="KG49" s="1">
        <v>6</v>
      </c>
      <c r="KH49" s="30">
        <v>1</v>
      </c>
      <c r="KI49" s="1">
        <v>35</v>
      </c>
      <c r="KJ49" s="1">
        <v>100</v>
      </c>
    </row>
    <row r="50" spans="1:299" s="1" customFormat="1" ht="49.5">
      <c r="A50" s="8" t="s">
        <v>640</v>
      </c>
      <c r="B50" s="1">
        <v>64</v>
      </c>
      <c r="C50" s="20">
        <v>60</v>
      </c>
      <c r="D50" s="1">
        <v>2</v>
      </c>
      <c r="E50" s="1" t="s">
        <v>588</v>
      </c>
      <c r="F50" s="1">
        <v>21103</v>
      </c>
      <c r="G50" s="12" t="s">
        <v>36</v>
      </c>
      <c r="H50" s="12" t="s">
        <v>37</v>
      </c>
      <c r="I50" s="12" t="s">
        <v>22</v>
      </c>
      <c r="J50" s="13">
        <v>45097</v>
      </c>
      <c r="K50" s="30" t="s">
        <v>661</v>
      </c>
      <c r="L50" s="30" t="s">
        <v>703</v>
      </c>
      <c r="M50" s="14" t="s">
        <v>136</v>
      </c>
      <c r="N50" s="14" t="s">
        <v>135</v>
      </c>
      <c r="T50" s="32">
        <v>45064</v>
      </c>
      <c r="U50" s="30">
        <v>-33</v>
      </c>
      <c r="V50" s="30" t="s">
        <v>554</v>
      </c>
      <c r="W50" s="30">
        <v>25</v>
      </c>
      <c r="X50" s="30">
        <v>35</v>
      </c>
      <c r="Y50" s="30">
        <v>20</v>
      </c>
      <c r="Z50" s="30">
        <v>55</v>
      </c>
      <c r="AA50" s="30">
        <v>55</v>
      </c>
      <c r="AB50" s="30">
        <v>55</v>
      </c>
      <c r="AC50" s="33">
        <v>32.5</v>
      </c>
      <c r="AD50" s="30">
        <v>60</v>
      </c>
      <c r="AE50" s="30">
        <v>60</v>
      </c>
      <c r="AF50" s="30">
        <v>55</v>
      </c>
      <c r="AG50" s="30">
        <v>50</v>
      </c>
      <c r="AH50" s="30">
        <v>75</v>
      </c>
      <c r="AI50" s="30">
        <v>105</v>
      </c>
      <c r="AJ50" s="30">
        <v>85</v>
      </c>
      <c r="AK50" s="30">
        <v>80</v>
      </c>
      <c r="AL50" s="31" t="s">
        <v>234</v>
      </c>
      <c r="AM50" s="31" t="s">
        <v>234</v>
      </c>
      <c r="AN50" s="31" t="s">
        <v>234</v>
      </c>
      <c r="AO50" s="31" t="s">
        <v>234</v>
      </c>
      <c r="AP50" s="31" t="s">
        <v>234</v>
      </c>
      <c r="AQ50" s="31" t="s">
        <v>234</v>
      </c>
      <c r="AR50" s="31" t="s">
        <v>234</v>
      </c>
      <c r="AS50" s="33">
        <v>57.5</v>
      </c>
      <c r="AT50" s="33">
        <v>69</v>
      </c>
      <c r="AU50" s="33">
        <v>58.333333333333336</v>
      </c>
      <c r="AV50" s="33">
        <v>62.5</v>
      </c>
      <c r="AW50" s="33">
        <v>90</v>
      </c>
      <c r="AX50" s="33">
        <v>71.25</v>
      </c>
      <c r="AY50" s="34">
        <v>3</v>
      </c>
      <c r="AZ50" s="33">
        <v>3</v>
      </c>
      <c r="BA50" s="31" t="s">
        <v>234</v>
      </c>
      <c r="BB50" s="31" t="s">
        <v>234</v>
      </c>
      <c r="BC50" s="30">
        <v>20</v>
      </c>
      <c r="BD50" s="30">
        <v>30</v>
      </c>
      <c r="BE50" s="30">
        <v>25</v>
      </c>
      <c r="BF50" s="30">
        <v>25</v>
      </c>
      <c r="BG50" s="30">
        <v>35</v>
      </c>
      <c r="BH50" s="30">
        <v>40</v>
      </c>
      <c r="BI50" s="33">
        <v>26.25</v>
      </c>
      <c r="BJ50" s="30">
        <v>30</v>
      </c>
      <c r="BK50" s="30">
        <v>30</v>
      </c>
      <c r="BL50" s="30">
        <v>30</v>
      </c>
      <c r="BM50" s="30">
        <v>30</v>
      </c>
      <c r="BN50" s="30">
        <v>25</v>
      </c>
      <c r="BO50" s="30">
        <v>35</v>
      </c>
      <c r="BP50" s="30">
        <v>40</v>
      </c>
      <c r="BQ50" s="30">
        <v>75</v>
      </c>
      <c r="BR50" s="31" t="s">
        <v>234</v>
      </c>
      <c r="BS50" s="31" t="s">
        <v>234</v>
      </c>
      <c r="BT50" s="31" t="s">
        <v>234</v>
      </c>
      <c r="BU50" s="31" t="s">
        <v>234</v>
      </c>
      <c r="BV50" s="31" t="s">
        <v>234</v>
      </c>
      <c r="BW50" s="31" t="s">
        <v>234</v>
      </c>
      <c r="BX50" s="31" t="s">
        <v>234</v>
      </c>
      <c r="BY50" s="33">
        <v>28.75</v>
      </c>
      <c r="BZ50" s="33">
        <v>40</v>
      </c>
      <c r="CA50" s="33">
        <v>30</v>
      </c>
      <c r="CB50" s="33">
        <v>27.5</v>
      </c>
      <c r="CC50" s="33">
        <v>50</v>
      </c>
      <c r="CD50" s="33">
        <v>30</v>
      </c>
      <c r="CE50" s="30">
        <v>3</v>
      </c>
      <c r="CF50" s="33">
        <v>1</v>
      </c>
      <c r="CG50" s="31" t="s">
        <v>234</v>
      </c>
      <c r="CH50" s="31" t="s">
        <v>234</v>
      </c>
      <c r="CI50" s="30" t="s">
        <v>451</v>
      </c>
      <c r="CJ50" s="30"/>
      <c r="CK50" s="30"/>
      <c r="CL50" s="32">
        <v>45191</v>
      </c>
      <c r="CM50" s="30">
        <v>94</v>
      </c>
      <c r="CN50" s="30"/>
      <c r="CO50" s="30">
        <v>30</v>
      </c>
      <c r="CP50" s="30">
        <v>40</v>
      </c>
      <c r="CQ50" s="30">
        <v>25</v>
      </c>
      <c r="CR50" s="30">
        <v>65</v>
      </c>
      <c r="CS50" s="30">
        <v>75</v>
      </c>
      <c r="CT50" s="30">
        <v>60</v>
      </c>
      <c r="CU50" s="33">
        <v>38.75</v>
      </c>
      <c r="CV50" s="30">
        <v>70</v>
      </c>
      <c r="CW50" s="30">
        <v>55</v>
      </c>
      <c r="CX50" s="30">
        <v>55</v>
      </c>
      <c r="CY50" s="30">
        <v>60</v>
      </c>
      <c r="CZ50" s="30">
        <v>90</v>
      </c>
      <c r="DA50" s="30">
        <v>90</v>
      </c>
      <c r="DB50" s="30">
        <v>95</v>
      </c>
      <c r="DC50" s="30">
        <v>95</v>
      </c>
      <c r="DD50" s="30" t="s">
        <v>277</v>
      </c>
      <c r="DE50" s="30" t="s">
        <v>277</v>
      </c>
      <c r="DF50" s="30" t="s">
        <v>277</v>
      </c>
      <c r="DG50" s="30" t="s">
        <v>277</v>
      </c>
      <c r="DH50" s="30" t="s">
        <v>277</v>
      </c>
      <c r="DI50" s="30" t="s">
        <v>277</v>
      </c>
      <c r="DJ50" s="30" t="s">
        <v>277</v>
      </c>
      <c r="DK50" s="33">
        <v>66.25</v>
      </c>
      <c r="DL50" s="33">
        <v>79</v>
      </c>
      <c r="DM50" s="33">
        <v>60</v>
      </c>
      <c r="DN50" s="33">
        <v>75</v>
      </c>
      <c r="DO50" s="33">
        <v>93.333333333333329</v>
      </c>
      <c r="DP50" s="33">
        <v>73.75</v>
      </c>
      <c r="DQ50" s="30">
        <v>3</v>
      </c>
      <c r="DR50" s="33">
        <v>3</v>
      </c>
      <c r="DS50" s="30">
        <v>65</v>
      </c>
      <c r="DT50" s="30">
        <v>88</v>
      </c>
      <c r="DU50" s="30">
        <v>25</v>
      </c>
      <c r="DV50" s="30">
        <v>20</v>
      </c>
      <c r="DW50" s="30">
        <v>25</v>
      </c>
      <c r="DX50" s="30">
        <v>30</v>
      </c>
      <c r="DY50" s="30">
        <v>35</v>
      </c>
      <c r="DZ50" s="30">
        <v>35</v>
      </c>
      <c r="EA50" s="33">
        <v>25</v>
      </c>
      <c r="EB50" s="30">
        <v>25</v>
      </c>
      <c r="EC50" s="30">
        <v>25</v>
      </c>
      <c r="ED50" s="30">
        <v>20</v>
      </c>
      <c r="EE50" s="30">
        <v>25</v>
      </c>
      <c r="EF50" s="30">
        <v>30</v>
      </c>
      <c r="EG50" s="30">
        <v>35</v>
      </c>
      <c r="EH50" s="30">
        <v>35</v>
      </c>
      <c r="EI50" s="30">
        <v>40</v>
      </c>
      <c r="EJ50" s="30" t="s">
        <v>277</v>
      </c>
      <c r="EK50" s="30" t="s">
        <v>277</v>
      </c>
      <c r="EL50" s="30" t="s">
        <v>277</v>
      </c>
      <c r="EM50" s="30" t="s">
        <v>277</v>
      </c>
      <c r="EN50" s="30" t="s">
        <v>277</v>
      </c>
      <c r="EO50" s="30" t="s">
        <v>277</v>
      </c>
      <c r="EP50" s="30" t="s">
        <v>277</v>
      </c>
      <c r="EQ50" s="33">
        <v>25</v>
      </c>
      <c r="ER50" s="33">
        <v>30</v>
      </c>
      <c r="ES50" s="33">
        <v>23.333333333333332</v>
      </c>
      <c r="ET50" s="33">
        <v>27.5</v>
      </c>
      <c r="EU50" s="33">
        <v>36.666666666666664</v>
      </c>
      <c r="EV50" s="33">
        <v>27.5</v>
      </c>
      <c r="EW50" s="30">
        <v>3</v>
      </c>
      <c r="EX50" s="33">
        <v>1</v>
      </c>
      <c r="EY50" s="30">
        <v>20</v>
      </c>
      <c r="EZ50" s="30">
        <v>100</v>
      </c>
      <c r="FA50" s="30" t="s">
        <v>452</v>
      </c>
      <c r="FB50" s="30" t="s">
        <v>453</v>
      </c>
      <c r="FC50" s="30"/>
      <c r="FD50" s="32">
        <v>45286</v>
      </c>
      <c r="FE50" s="30">
        <v>189</v>
      </c>
      <c r="FF50" s="30"/>
      <c r="FG50" s="30">
        <v>25</v>
      </c>
      <c r="FH50" s="30">
        <v>30</v>
      </c>
      <c r="FI50" s="30">
        <v>30</v>
      </c>
      <c r="FJ50" s="30">
        <v>60</v>
      </c>
      <c r="FK50" s="30">
        <v>60</v>
      </c>
      <c r="FL50" s="30">
        <v>55</v>
      </c>
      <c r="FM50" s="33">
        <v>37.5</v>
      </c>
      <c r="FN50" s="30">
        <v>65</v>
      </c>
      <c r="FO50" s="30">
        <v>55</v>
      </c>
      <c r="FP50" s="30">
        <v>60</v>
      </c>
      <c r="FQ50" s="30">
        <v>60</v>
      </c>
      <c r="FR50" s="30">
        <v>85</v>
      </c>
      <c r="FS50" s="30">
        <v>90</v>
      </c>
      <c r="FT50" s="30">
        <v>95</v>
      </c>
      <c r="FU50" s="42">
        <v>110</v>
      </c>
      <c r="FV50" s="30" t="s">
        <v>234</v>
      </c>
      <c r="FW50" s="30" t="s">
        <v>234</v>
      </c>
      <c r="FX50" s="30" t="s">
        <v>234</v>
      </c>
      <c r="FY50" s="30" t="s">
        <v>234</v>
      </c>
      <c r="FZ50" s="30" t="s">
        <v>234</v>
      </c>
      <c r="GA50" s="30" t="s">
        <v>234</v>
      </c>
      <c r="GB50" s="30" t="s">
        <v>234</v>
      </c>
      <c r="GC50" s="33">
        <v>66.25</v>
      </c>
      <c r="GD50" s="33">
        <v>82</v>
      </c>
      <c r="GE50" s="33">
        <v>60</v>
      </c>
      <c r="GF50" s="33">
        <v>72.5</v>
      </c>
      <c r="GG50" s="33">
        <v>98.333333333333329</v>
      </c>
      <c r="GH50" s="33">
        <v>73.75</v>
      </c>
      <c r="GI50" s="30">
        <v>3</v>
      </c>
      <c r="GJ50" s="33">
        <v>3</v>
      </c>
      <c r="GK50" s="30">
        <v>20</v>
      </c>
      <c r="GL50" s="30">
        <v>100</v>
      </c>
      <c r="GM50" s="30">
        <v>20</v>
      </c>
      <c r="GN50" s="30">
        <v>15</v>
      </c>
      <c r="GO50" s="30">
        <v>20</v>
      </c>
      <c r="GP50" s="30">
        <v>25</v>
      </c>
      <c r="GQ50" s="30">
        <v>35</v>
      </c>
      <c r="GR50" s="30">
        <v>35</v>
      </c>
      <c r="GS50" s="30">
        <v>20</v>
      </c>
      <c r="GT50" s="30">
        <v>25</v>
      </c>
      <c r="GU50" s="30">
        <v>20</v>
      </c>
      <c r="GV50" s="30">
        <v>15</v>
      </c>
      <c r="GW50" s="30">
        <v>20</v>
      </c>
      <c r="GX50" s="30">
        <v>25</v>
      </c>
      <c r="GY50" s="30">
        <v>35</v>
      </c>
      <c r="GZ50" s="30">
        <v>35</v>
      </c>
      <c r="HA50" s="30">
        <v>35</v>
      </c>
      <c r="HB50" s="30" t="s">
        <v>277</v>
      </c>
      <c r="HC50" s="30" t="s">
        <v>277</v>
      </c>
      <c r="HD50" s="30" t="s">
        <v>277</v>
      </c>
      <c r="HE50" s="30" t="s">
        <v>277</v>
      </c>
      <c r="HF50" s="30" t="s">
        <v>277</v>
      </c>
      <c r="HG50" s="30" t="s">
        <v>277</v>
      </c>
      <c r="HH50" s="30" t="s">
        <v>277</v>
      </c>
      <c r="HI50" s="30">
        <v>20</v>
      </c>
      <c r="HJ50" s="30">
        <v>26</v>
      </c>
      <c r="HK50" s="30">
        <v>20</v>
      </c>
      <c r="HL50" s="30">
        <v>22.5</v>
      </c>
      <c r="HM50" s="30">
        <v>35</v>
      </c>
      <c r="HN50" s="30">
        <v>23.75</v>
      </c>
      <c r="HO50" s="30">
        <v>3</v>
      </c>
      <c r="HP50" s="30">
        <v>1</v>
      </c>
      <c r="HQ50" s="30">
        <v>20</v>
      </c>
      <c r="HR50" s="30">
        <v>100</v>
      </c>
      <c r="HS50" s="30" t="s">
        <v>454</v>
      </c>
      <c r="HT50" s="30" t="s">
        <v>455</v>
      </c>
      <c r="HU50" s="30"/>
      <c r="HV50" s="32"/>
      <c r="HW50" s="30">
        <v>-45097</v>
      </c>
      <c r="HX50" s="30"/>
      <c r="HY50" s="30"/>
      <c r="HZ50" s="30"/>
      <c r="IA50" s="30"/>
      <c r="IB50" s="30"/>
      <c r="IC50" s="30"/>
      <c r="ID50" s="30"/>
      <c r="IE50" s="30">
        <v>0</v>
      </c>
      <c r="IF50" s="30"/>
      <c r="IG50" s="30"/>
      <c r="IH50" s="30"/>
      <c r="II50" s="30"/>
      <c r="IJ50" s="30"/>
      <c r="IK50" s="30"/>
      <c r="IL50" s="30"/>
      <c r="IM50" s="30"/>
      <c r="IN50" s="30" t="s">
        <v>277</v>
      </c>
      <c r="IO50" s="30" t="s">
        <v>277</v>
      </c>
      <c r="IP50" s="30" t="s">
        <v>277</v>
      </c>
      <c r="IQ50" s="30" t="s">
        <v>277</v>
      </c>
      <c r="IR50" s="30" t="s">
        <v>277</v>
      </c>
      <c r="IS50" s="30" t="s">
        <v>277</v>
      </c>
      <c r="IT50" s="30" t="s">
        <v>277</v>
      </c>
      <c r="IU50" s="30">
        <v>0</v>
      </c>
      <c r="IV50" s="30" t="e">
        <v>#DIV/0!</v>
      </c>
      <c r="IW50" s="30" t="e">
        <v>#DIV/0!</v>
      </c>
      <c r="IX50" s="30" t="e">
        <v>#DIV/0!</v>
      </c>
      <c r="IY50" s="30" t="e">
        <v>#DIV/0!</v>
      </c>
      <c r="IZ50" s="30" t="e">
        <v>#DIV/0!</v>
      </c>
      <c r="JA50" s="30" t="e">
        <v>#DIV/0!</v>
      </c>
      <c r="JB50" s="30" t="e">
        <v>#DIV/0!</v>
      </c>
      <c r="JC50" s="30"/>
      <c r="JD50" s="30"/>
      <c r="JE50" s="30"/>
      <c r="JF50" s="30"/>
      <c r="JG50" s="30"/>
      <c r="JH50" s="30"/>
      <c r="JI50" s="30"/>
      <c r="JJ50" s="30"/>
      <c r="JK50" s="30">
        <v>0</v>
      </c>
      <c r="JL50" s="30"/>
      <c r="JM50" s="30"/>
      <c r="JN50" s="30"/>
      <c r="JO50" s="30"/>
      <c r="JP50" s="30"/>
      <c r="JQ50" s="30"/>
      <c r="JR50" s="30"/>
      <c r="JS50" s="30"/>
      <c r="JT50" s="30" t="s">
        <v>277</v>
      </c>
      <c r="JU50" s="30" t="s">
        <v>277</v>
      </c>
      <c r="JV50" s="30" t="s">
        <v>277</v>
      </c>
      <c r="JW50" s="30" t="s">
        <v>277</v>
      </c>
      <c r="JX50" s="30" t="s">
        <v>277</v>
      </c>
      <c r="JY50" s="30" t="s">
        <v>277</v>
      </c>
      <c r="JZ50" s="30" t="s">
        <v>277</v>
      </c>
      <c r="KA50" s="30">
        <v>0</v>
      </c>
      <c r="KB50" s="30" t="e">
        <v>#DIV/0!</v>
      </c>
      <c r="KC50" s="30" t="e">
        <v>#DIV/0!</v>
      </c>
      <c r="KD50" s="30" t="e">
        <v>#DIV/0!</v>
      </c>
      <c r="KE50" s="30" t="e">
        <v>#DIV/0!</v>
      </c>
      <c r="KF50" s="30" t="e">
        <v>#DIV/0!</v>
      </c>
      <c r="KG50" s="30" t="e">
        <v>#DIV/0!</v>
      </c>
      <c r="KH50" s="30" t="e">
        <v>#DIV/0!</v>
      </c>
      <c r="KI50" s="30"/>
      <c r="KJ50" s="30"/>
      <c r="KK50" s="30"/>
      <c r="KL50" s="30"/>
      <c r="KM50" s="30"/>
    </row>
    <row r="51" spans="1:299" s="1" customFormat="1" ht="49.5">
      <c r="A51" s="8" t="s">
        <v>641</v>
      </c>
      <c r="B51" s="1">
        <v>67</v>
      </c>
      <c r="C51" s="20">
        <v>60</v>
      </c>
      <c r="D51" s="1">
        <v>1</v>
      </c>
      <c r="E51" s="1" t="s">
        <v>590</v>
      </c>
      <c r="F51" s="1">
        <v>21098</v>
      </c>
      <c r="G51" s="12" t="s">
        <v>73</v>
      </c>
      <c r="H51" s="12" t="s">
        <v>74</v>
      </c>
      <c r="I51" s="12" t="s">
        <v>22</v>
      </c>
      <c r="J51" s="13">
        <v>44817</v>
      </c>
      <c r="K51" s="30" t="s">
        <v>685</v>
      </c>
      <c r="L51" s="30" t="s">
        <v>704</v>
      </c>
      <c r="M51" s="14" t="s">
        <v>158</v>
      </c>
      <c r="N51" s="12" t="s">
        <v>123</v>
      </c>
      <c r="T51" s="32">
        <v>44812</v>
      </c>
      <c r="U51" s="30">
        <v>-5</v>
      </c>
      <c r="V51" s="30"/>
      <c r="W51" s="30">
        <v>20</v>
      </c>
      <c r="X51" s="30">
        <v>30</v>
      </c>
      <c r="Y51" s="30">
        <v>15</v>
      </c>
      <c r="Z51" s="30">
        <v>20</v>
      </c>
      <c r="AA51" s="30">
        <v>20</v>
      </c>
      <c r="AB51" s="30">
        <v>5</v>
      </c>
      <c r="AC51" s="33">
        <v>20</v>
      </c>
      <c r="AD51" s="30">
        <v>40</v>
      </c>
      <c r="AE51" s="30">
        <v>45</v>
      </c>
      <c r="AF51" s="30">
        <v>50</v>
      </c>
      <c r="AG51" s="30">
        <v>45</v>
      </c>
      <c r="AH51" s="30">
        <v>25</v>
      </c>
      <c r="AI51" s="30">
        <v>30</v>
      </c>
      <c r="AJ51" s="30">
        <v>35</v>
      </c>
      <c r="AK51" s="30">
        <v>50</v>
      </c>
      <c r="AL51" s="31" t="s">
        <v>234</v>
      </c>
      <c r="AM51" s="31" t="s">
        <v>234</v>
      </c>
      <c r="AN51" s="31" t="s">
        <v>234</v>
      </c>
      <c r="AO51" s="31" t="s">
        <v>234</v>
      </c>
      <c r="AP51" s="31" t="s">
        <v>234</v>
      </c>
      <c r="AQ51" s="31" t="s">
        <v>234</v>
      </c>
      <c r="AR51" s="31" t="s">
        <v>234</v>
      </c>
      <c r="AS51" s="33">
        <v>41.25</v>
      </c>
      <c r="AT51" s="33">
        <v>41</v>
      </c>
      <c r="AU51" s="33">
        <v>45</v>
      </c>
      <c r="AV51" s="33">
        <v>35</v>
      </c>
      <c r="AW51" s="33">
        <v>38.333333333333336</v>
      </c>
      <c r="AX51" s="33">
        <v>37.5</v>
      </c>
      <c r="AY51" s="34">
        <v>3</v>
      </c>
      <c r="AZ51" s="33">
        <v>1</v>
      </c>
      <c r="BA51" s="30">
        <v>40</v>
      </c>
      <c r="BB51" s="30">
        <v>100</v>
      </c>
      <c r="BC51" s="30">
        <v>10</v>
      </c>
      <c r="BD51" s="30">
        <v>20</v>
      </c>
      <c r="BE51" s="30">
        <v>10</v>
      </c>
      <c r="BF51" s="30">
        <v>10</v>
      </c>
      <c r="BG51" s="30">
        <v>40</v>
      </c>
      <c r="BH51" s="30">
        <v>35</v>
      </c>
      <c r="BI51" s="33">
        <v>12.5</v>
      </c>
      <c r="BJ51" s="30">
        <v>15</v>
      </c>
      <c r="BK51" s="30">
        <v>15</v>
      </c>
      <c r="BL51" s="30">
        <v>20</v>
      </c>
      <c r="BM51" s="30">
        <v>10</v>
      </c>
      <c r="BN51" s="30">
        <v>10</v>
      </c>
      <c r="BO51" s="30">
        <v>40</v>
      </c>
      <c r="BP51" s="30">
        <v>45</v>
      </c>
      <c r="BQ51" s="30">
        <v>40</v>
      </c>
      <c r="BR51" s="31" t="s">
        <v>234</v>
      </c>
      <c r="BS51" s="31" t="s">
        <v>234</v>
      </c>
      <c r="BT51" s="31" t="s">
        <v>234</v>
      </c>
      <c r="BU51" s="31" t="s">
        <v>234</v>
      </c>
      <c r="BV51" s="31" t="s">
        <v>234</v>
      </c>
      <c r="BW51" s="31" t="s">
        <v>234</v>
      </c>
      <c r="BX51" s="31" t="s">
        <v>234</v>
      </c>
      <c r="BY51" s="33">
        <v>12.5</v>
      </c>
      <c r="BZ51" s="33">
        <v>25</v>
      </c>
      <c r="CA51" s="33">
        <v>16.666666666666668</v>
      </c>
      <c r="CB51" s="33">
        <v>10</v>
      </c>
      <c r="CC51" s="33">
        <v>41.666666666666664</v>
      </c>
      <c r="CD51" s="33">
        <v>20</v>
      </c>
      <c r="CE51" s="30">
        <v>3</v>
      </c>
      <c r="CF51" s="33">
        <v>0</v>
      </c>
      <c r="CG51" s="30">
        <v>20</v>
      </c>
      <c r="CH51" s="30">
        <v>100</v>
      </c>
      <c r="CI51" s="30" t="s">
        <v>456</v>
      </c>
      <c r="CJ51" s="31" t="s">
        <v>457</v>
      </c>
      <c r="CK51" s="48"/>
      <c r="CL51" s="32">
        <v>44902</v>
      </c>
      <c r="CM51" s="30">
        <v>85</v>
      </c>
      <c r="CN51" s="30"/>
      <c r="CO51" s="30">
        <v>30</v>
      </c>
      <c r="CP51" s="30">
        <v>35</v>
      </c>
      <c r="CQ51" s="30">
        <v>20</v>
      </c>
      <c r="CR51" s="30">
        <v>15</v>
      </c>
      <c r="CS51" s="30">
        <v>15</v>
      </c>
      <c r="CT51" s="30">
        <v>15</v>
      </c>
      <c r="CU51" s="33">
        <v>22.5</v>
      </c>
      <c r="CV51" s="30">
        <v>60</v>
      </c>
      <c r="CW51" s="30">
        <v>60</v>
      </c>
      <c r="CX51" s="30">
        <v>50</v>
      </c>
      <c r="CY51" s="30">
        <v>50</v>
      </c>
      <c r="CZ51" s="30">
        <v>25</v>
      </c>
      <c r="DA51" s="30">
        <v>35</v>
      </c>
      <c r="DB51" s="30">
        <v>40</v>
      </c>
      <c r="DC51" s="30">
        <v>55</v>
      </c>
      <c r="DD51" s="30" t="s">
        <v>277</v>
      </c>
      <c r="DE51" s="30" t="s">
        <v>277</v>
      </c>
      <c r="DF51" s="30" t="s">
        <v>277</v>
      </c>
      <c r="DG51" s="30" t="s">
        <v>277</v>
      </c>
      <c r="DH51" s="30" t="s">
        <v>277</v>
      </c>
      <c r="DI51" s="30" t="s">
        <v>277</v>
      </c>
      <c r="DJ51" s="30" t="s">
        <v>277</v>
      </c>
      <c r="DK51" s="33">
        <v>43.75</v>
      </c>
      <c r="DL51" s="33">
        <v>44</v>
      </c>
      <c r="DM51" s="33">
        <v>56.666666666666664</v>
      </c>
      <c r="DN51" s="33">
        <v>37.5</v>
      </c>
      <c r="DO51" s="33">
        <v>43.333333333333336</v>
      </c>
      <c r="DP51" s="33">
        <v>40</v>
      </c>
      <c r="DQ51" s="30" t="s">
        <v>235</v>
      </c>
      <c r="DR51" s="33">
        <v>1</v>
      </c>
      <c r="DS51" s="30">
        <v>35</v>
      </c>
      <c r="DT51" s="30">
        <v>90</v>
      </c>
      <c r="DU51" s="30">
        <v>20</v>
      </c>
      <c r="DV51" s="30">
        <v>15</v>
      </c>
      <c r="DW51" s="30">
        <v>10</v>
      </c>
      <c r="DX51" s="30">
        <v>10</v>
      </c>
      <c r="DY51" s="30">
        <v>35</v>
      </c>
      <c r="DZ51" s="30">
        <v>55</v>
      </c>
      <c r="EA51" s="33">
        <v>11.25</v>
      </c>
      <c r="EB51" s="30">
        <v>25</v>
      </c>
      <c r="EC51" s="30">
        <v>25</v>
      </c>
      <c r="ED51" s="30">
        <v>15</v>
      </c>
      <c r="EE51" s="30">
        <v>10</v>
      </c>
      <c r="EF51" s="30">
        <v>10</v>
      </c>
      <c r="EG51" s="30">
        <v>35</v>
      </c>
      <c r="EH51" s="30">
        <v>60</v>
      </c>
      <c r="EI51" s="30">
        <v>35</v>
      </c>
      <c r="EJ51" s="30" t="s">
        <v>277</v>
      </c>
      <c r="EK51" s="30" t="s">
        <v>277</v>
      </c>
      <c r="EL51" s="30" t="s">
        <v>277</v>
      </c>
      <c r="EM51" s="30" t="s">
        <v>277</v>
      </c>
      <c r="EN51" s="30" t="s">
        <v>277</v>
      </c>
      <c r="EO51" s="30" t="s">
        <v>277</v>
      </c>
      <c r="EP51" s="30" t="s">
        <v>277</v>
      </c>
      <c r="EQ51" s="33">
        <v>11.25</v>
      </c>
      <c r="ER51" s="33">
        <v>26</v>
      </c>
      <c r="ES51" s="33">
        <v>21.666666666666668</v>
      </c>
      <c r="ET51" s="33">
        <v>10</v>
      </c>
      <c r="EU51" s="33">
        <v>43.333333333333336</v>
      </c>
      <c r="EV51" s="33">
        <v>17.5</v>
      </c>
      <c r="EW51" s="30">
        <v>3</v>
      </c>
      <c r="EX51" s="33">
        <v>0</v>
      </c>
      <c r="EY51" s="30">
        <v>20</v>
      </c>
      <c r="EZ51" s="30">
        <v>95</v>
      </c>
      <c r="FA51" s="30"/>
      <c r="FB51" s="30"/>
      <c r="FC51" s="48" t="s">
        <v>458</v>
      </c>
      <c r="FD51" s="50">
        <v>44902</v>
      </c>
      <c r="FE51" s="30">
        <v>85</v>
      </c>
      <c r="FF51" s="30"/>
      <c r="FG51" s="30">
        <v>30</v>
      </c>
      <c r="FH51" s="30">
        <v>35</v>
      </c>
      <c r="FI51" s="30">
        <v>20</v>
      </c>
      <c r="FJ51" s="30">
        <v>15</v>
      </c>
      <c r="FK51" s="30">
        <v>15</v>
      </c>
      <c r="FL51" s="30">
        <v>15</v>
      </c>
      <c r="FM51" s="33">
        <v>22.5</v>
      </c>
      <c r="FN51" s="30">
        <v>60</v>
      </c>
      <c r="FO51" s="30">
        <v>60</v>
      </c>
      <c r="FP51" s="30">
        <v>50</v>
      </c>
      <c r="FQ51" s="30">
        <v>50</v>
      </c>
      <c r="FR51" s="30">
        <v>25</v>
      </c>
      <c r="FS51" s="30">
        <v>35</v>
      </c>
      <c r="FT51" s="30">
        <v>40</v>
      </c>
      <c r="FU51" s="30">
        <v>55</v>
      </c>
      <c r="FV51" s="30"/>
      <c r="FW51" s="30"/>
      <c r="FX51" s="30"/>
      <c r="FY51" s="30"/>
      <c r="FZ51" s="30"/>
      <c r="GA51" s="30"/>
      <c r="GB51" s="30"/>
      <c r="GC51" s="33">
        <v>43.75</v>
      </c>
      <c r="GD51" s="33">
        <v>44</v>
      </c>
      <c r="GE51" s="33">
        <v>56.666666666666664</v>
      </c>
      <c r="GF51" s="33">
        <v>37.5</v>
      </c>
      <c r="GG51" s="33">
        <v>43.333333333333336</v>
      </c>
      <c r="GH51" s="33">
        <v>40</v>
      </c>
      <c r="GI51" s="30">
        <v>6</v>
      </c>
      <c r="GJ51" s="33">
        <v>1</v>
      </c>
      <c r="GK51" s="30">
        <v>335</v>
      </c>
      <c r="GL51" s="30">
        <v>90</v>
      </c>
      <c r="GM51" s="30">
        <v>20</v>
      </c>
      <c r="GN51" s="30">
        <v>15</v>
      </c>
      <c r="GO51" s="30">
        <v>10</v>
      </c>
      <c r="GP51" s="30">
        <v>10</v>
      </c>
      <c r="GQ51" s="30">
        <v>35</v>
      </c>
      <c r="GR51" s="30">
        <v>55</v>
      </c>
      <c r="GS51" s="30">
        <v>11.25</v>
      </c>
      <c r="GT51" s="30">
        <v>25</v>
      </c>
      <c r="GU51" s="30">
        <v>25</v>
      </c>
      <c r="GV51" s="30">
        <v>15</v>
      </c>
      <c r="GW51" s="30">
        <v>10</v>
      </c>
      <c r="GX51" s="30">
        <v>10</v>
      </c>
      <c r="GY51" s="30">
        <v>35</v>
      </c>
      <c r="GZ51" s="30">
        <v>60</v>
      </c>
      <c r="HA51" s="30">
        <v>35</v>
      </c>
      <c r="HB51" s="30" t="s">
        <v>277</v>
      </c>
      <c r="HC51" s="30" t="s">
        <v>277</v>
      </c>
      <c r="HD51" s="30" t="s">
        <v>277</v>
      </c>
      <c r="HE51" s="30" t="s">
        <v>277</v>
      </c>
      <c r="HF51" s="30" t="s">
        <v>277</v>
      </c>
      <c r="HG51" s="30" t="s">
        <v>277</v>
      </c>
      <c r="HH51" s="30" t="s">
        <v>277</v>
      </c>
      <c r="HI51" s="30">
        <v>11.25</v>
      </c>
      <c r="HJ51" s="30">
        <v>26</v>
      </c>
      <c r="HK51" s="30">
        <v>21.666666666666668</v>
      </c>
      <c r="HL51" s="30">
        <v>10</v>
      </c>
      <c r="HM51" s="30">
        <v>43.333333333333336</v>
      </c>
      <c r="HN51" s="30">
        <v>17.5</v>
      </c>
      <c r="HO51" s="30">
        <v>6</v>
      </c>
      <c r="HP51" s="30">
        <v>0</v>
      </c>
      <c r="HQ51" s="30">
        <v>20</v>
      </c>
      <c r="HR51" s="30">
        <v>95</v>
      </c>
      <c r="HS51" s="30"/>
      <c r="HT51" s="30"/>
      <c r="HU51" s="48"/>
      <c r="HV51" s="32">
        <v>45264</v>
      </c>
      <c r="HW51" s="30">
        <v>447</v>
      </c>
      <c r="HX51" s="30"/>
      <c r="HY51" s="30">
        <v>25</v>
      </c>
      <c r="HZ51" s="30">
        <v>30</v>
      </c>
      <c r="IA51" s="30">
        <v>20</v>
      </c>
      <c r="IB51" s="30">
        <v>20</v>
      </c>
      <c r="IC51" s="30">
        <v>25</v>
      </c>
      <c r="ID51" s="30">
        <v>20</v>
      </c>
      <c r="IE51" s="30">
        <v>22.5</v>
      </c>
      <c r="IF51" s="30">
        <v>50</v>
      </c>
      <c r="IG51" s="30">
        <v>50</v>
      </c>
      <c r="IH51" s="30">
        <v>45</v>
      </c>
      <c r="II51" s="30">
        <v>45</v>
      </c>
      <c r="IJ51" s="30">
        <v>20</v>
      </c>
      <c r="IK51" s="30">
        <v>30</v>
      </c>
      <c r="IL51" s="30">
        <v>45</v>
      </c>
      <c r="IM51" s="30">
        <v>45</v>
      </c>
      <c r="IN51" s="30" t="s">
        <v>277</v>
      </c>
      <c r="IO51" s="30" t="s">
        <v>277</v>
      </c>
      <c r="IP51" s="30" t="s">
        <v>277</v>
      </c>
      <c r="IQ51" s="30" t="s">
        <v>277</v>
      </c>
      <c r="IR51" s="30" t="s">
        <v>277</v>
      </c>
      <c r="IS51" s="30" t="s">
        <v>277</v>
      </c>
      <c r="IT51" s="30" t="s">
        <v>277</v>
      </c>
      <c r="IU51" s="30">
        <v>38.75</v>
      </c>
      <c r="IV51" s="30">
        <v>40</v>
      </c>
      <c r="IW51" s="30">
        <v>48.333333333333336</v>
      </c>
      <c r="IX51" s="30">
        <v>32.5</v>
      </c>
      <c r="IY51" s="30">
        <v>40</v>
      </c>
      <c r="IZ51" s="30">
        <v>35</v>
      </c>
      <c r="JA51" s="30">
        <v>6</v>
      </c>
      <c r="JB51" s="30">
        <v>1</v>
      </c>
      <c r="JC51" s="30">
        <v>40</v>
      </c>
      <c r="JD51" s="30">
        <v>92</v>
      </c>
      <c r="JE51" s="30">
        <v>15</v>
      </c>
      <c r="JF51" s="30">
        <v>15</v>
      </c>
      <c r="JG51" s="30">
        <v>10</v>
      </c>
      <c r="JH51" s="30">
        <v>10</v>
      </c>
      <c r="JI51" s="30">
        <v>35</v>
      </c>
      <c r="JJ51" s="30">
        <v>35</v>
      </c>
      <c r="JK51" s="30">
        <v>11.25</v>
      </c>
      <c r="JL51" s="30">
        <v>15</v>
      </c>
      <c r="JM51" s="30">
        <v>15</v>
      </c>
      <c r="JN51" s="30">
        <v>15</v>
      </c>
      <c r="JO51" s="30">
        <v>10</v>
      </c>
      <c r="JP51" s="30">
        <v>10</v>
      </c>
      <c r="JQ51" s="30">
        <v>35</v>
      </c>
      <c r="JR51" s="30">
        <v>50</v>
      </c>
      <c r="JS51" s="30">
        <v>40</v>
      </c>
      <c r="JT51" s="30" t="s">
        <v>277</v>
      </c>
      <c r="JU51" s="30" t="s">
        <v>277</v>
      </c>
      <c r="JV51" s="30" t="s">
        <v>277</v>
      </c>
      <c r="JW51" s="30" t="s">
        <v>277</v>
      </c>
      <c r="JX51" s="30" t="s">
        <v>277</v>
      </c>
      <c r="JY51" s="30" t="s">
        <v>277</v>
      </c>
      <c r="JZ51" s="30" t="s">
        <v>277</v>
      </c>
      <c r="KA51" s="30">
        <v>11.25</v>
      </c>
      <c r="KB51" s="30">
        <v>25</v>
      </c>
      <c r="KC51" s="30">
        <v>15</v>
      </c>
      <c r="KD51" s="30">
        <v>10</v>
      </c>
      <c r="KE51" s="30">
        <v>41.666666666666664</v>
      </c>
      <c r="KF51" s="30">
        <v>17.5</v>
      </c>
      <c r="KG51" s="30">
        <v>6</v>
      </c>
      <c r="KH51" s="30">
        <v>0</v>
      </c>
      <c r="KI51" s="30">
        <v>20</v>
      </c>
      <c r="KJ51" s="30">
        <v>92</v>
      </c>
      <c r="KK51" s="30" t="s">
        <v>459</v>
      </c>
      <c r="KL51" s="30" t="s">
        <v>460</v>
      </c>
      <c r="KM51" s="30"/>
    </row>
    <row r="52" spans="1:299" s="1" customFormat="1" ht="115.5">
      <c r="A52" s="8" t="s">
        <v>642</v>
      </c>
      <c r="B52" s="1">
        <v>20</v>
      </c>
      <c r="C52" s="20">
        <v>20</v>
      </c>
      <c r="D52" s="1">
        <v>1</v>
      </c>
      <c r="E52" s="1" t="s">
        <v>590</v>
      </c>
      <c r="F52" s="1">
        <v>21100</v>
      </c>
      <c r="G52" s="12" t="s">
        <v>110</v>
      </c>
      <c r="H52" s="12" t="s">
        <v>111</v>
      </c>
      <c r="I52" s="12" t="s">
        <v>22</v>
      </c>
      <c r="J52" s="10">
        <v>44665</v>
      </c>
      <c r="K52" s="30" t="s">
        <v>661</v>
      </c>
      <c r="L52" s="30" t="s">
        <v>705</v>
      </c>
      <c r="M52" s="16" t="s">
        <v>168</v>
      </c>
      <c r="N52" s="12" t="s">
        <v>142</v>
      </c>
      <c r="T52" s="32">
        <v>44656</v>
      </c>
      <c r="U52" s="30">
        <v>-9</v>
      </c>
      <c r="V52" s="30" t="s">
        <v>554</v>
      </c>
      <c r="W52" s="30">
        <v>0</v>
      </c>
      <c r="X52" s="30">
        <v>10</v>
      </c>
      <c r="Y52" s="30">
        <v>0</v>
      </c>
      <c r="Z52" s="30">
        <v>10</v>
      </c>
      <c r="AA52" s="30">
        <v>15</v>
      </c>
      <c r="AB52" s="30">
        <v>10</v>
      </c>
      <c r="AC52" s="33">
        <v>5</v>
      </c>
      <c r="AD52" s="30">
        <v>10</v>
      </c>
      <c r="AE52" s="30">
        <v>10</v>
      </c>
      <c r="AF52" s="30">
        <v>10</v>
      </c>
      <c r="AG52" s="30">
        <v>15</v>
      </c>
      <c r="AH52" s="30">
        <v>5</v>
      </c>
      <c r="AI52" s="30">
        <v>15</v>
      </c>
      <c r="AJ52" s="30">
        <v>20</v>
      </c>
      <c r="AK52" s="30">
        <v>30</v>
      </c>
      <c r="AL52" s="31" t="s">
        <v>234</v>
      </c>
      <c r="AM52" s="31" t="s">
        <v>234</v>
      </c>
      <c r="AN52" s="31" t="s">
        <v>234</v>
      </c>
      <c r="AO52" s="31" t="s">
        <v>234</v>
      </c>
      <c r="AP52" s="31" t="s">
        <v>234</v>
      </c>
      <c r="AQ52" s="31" t="s">
        <v>234</v>
      </c>
      <c r="AR52" s="31" t="s">
        <v>234</v>
      </c>
      <c r="AS52" s="33">
        <v>11.25</v>
      </c>
      <c r="AT52" s="33">
        <v>16</v>
      </c>
      <c r="AU52" s="33">
        <v>10</v>
      </c>
      <c r="AV52" s="33">
        <v>10</v>
      </c>
      <c r="AW52" s="33">
        <v>21.666666666666668</v>
      </c>
      <c r="AX52" s="33">
        <v>11.25</v>
      </c>
      <c r="AY52" s="34">
        <v>3</v>
      </c>
      <c r="AZ52" s="33">
        <v>0</v>
      </c>
      <c r="BA52" s="30">
        <v>20</v>
      </c>
      <c r="BB52" s="30">
        <v>100</v>
      </c>
      <c r="BC52" s="30">
        <v>5</v>
      </c>
      <c r="BD52" s="30">
        <v>5</v>
      </c>
      <c r="BE52" s="30">
        <v>5</v>
      </c>
      <c r="BF52" s="30">
        <v>0</v>
      </c>
      <c r="BG52" s="30">
        <v>5</v>
      </c>
      <c r="BH52" s="30">
        <v>0</v>
      </c>
      <c r="BI52" s="33">
        <v>3.75</v>
      </c>
      <c r="BJ52" s="30">
        <v>10</v>
      </c>
      <c r="BK52" s="30">
        <v>5</v>
      </c>
      <c r="BL52" s="30">
        <v>5</v>
      </c>
      <c r="BM52" s="30">
        <v>5</v>
      </c>
      <c r="BN52" s="30">
        <v>0</v>
      </c>
      <c r="BO52" s="30">
        <v>5</v>
      </c>
      <c r="BP52" s="30">
        <v>0</v>
      </c>
      <c r="BQ52" s="30">
        <v>0</v>
      </c>
      <c r="BR52" s="31" t="s">
        <v>234</v>
      </c>
      <c r="BS52" s="31" t="s">
        <v>234</v>
      </c>
      <c r="BT52" s="31" t="s">
        <v>234</v>
      </c>
      <c r="BU52" s="31" t="s">
        <v>234</v>
      </c>
      <c r="BV52" s="31" t="s">
        <v>234</v>
      </c>
      <c r="BW52" s="31" t="s">
        <v>234</v>
      </c>
      <c r="BX52" s="31" t="s">
        <v>234</v>
      </c>
      <c r="BY52" s="33">
        <v>3.75</v>
      </c>
      <c r="BZ52" s="33">
        <v>2</v>
      </c>
      <c r="CA52" s="33">
        <v>6.666666666666667</v>
      </c>
      <c r="CB52" s="33">
        <v>2.5</v>
      </c>
      <c r="CC52" s="33">
        <v>1.6666666666666667</v>
      </c>
      <c r="CD52" s="33">
        <v>3.75</v>
      </c>
      <c r="CE52" s="30">
        <v>4</v>
      </c>
      <c r="CF52" s="33">
        <v>0</v>
      </c>
      <c r="CG52" s="30">
        <v>10</v>
      </c>
      <c r="CH52" s="30">
        <v>40</v>
      </c>
      <c r="CI52" s="31" t="s">
        <v>461</v>
      </c>
      <c r="CJ52" s="31" t="s">
        <v>462</v>
      </c>
      <c r="CK52" s="30"/>
      <c r="CL52" s="32">
        <v>44769</v>
      </c>
      <c r="CM52" s="30">
        <v>104</v>
      </c>
      <c r="CN52" s="30"/>
      <c r="CO52" s="30">
        <v>10</v>
      </c>
      <c r="CP52" s="30">
        <v>15</v>
      </c>
      <c r="CQ52" s="30">
        <v>10</v>
      </c>
      <c r="CR52" s="30">
        <v>0</v>
      </c>
      <c r="CS52" s="30">
        <v>20</v>
      </c>
      <c r="CT52" s="30">
        <v>15</v>
      </c>
      <c r="CU52" s="33">
        <v>8.75</v>
      </c>
      <c r="CV52" s="30">
        <v>15</v>
      </c>
      <c r="CW52" s="30">
        <v>15</v>
      </c>
      <c r="CX52" s="30">
        <v>15</v>
      </c>
      <c r="CY52" s="30">
        <v>20</v>
      </c>
      <c r="CZ52" s="30">
        <v>0</v>
      </c>
      <c r="DA52" s="30">
        <v>20</v>
      </c>
      <c r="DB52" s="30">
        <v>25</v>
      </c>
      <c r="DC52" s="30">
        <v>40</v>
      </c>
      <c r="DD52" s="30"/>
      <c r="DE52" s="30"/>
      <c r="DF52" s="30"/>
      <c r="DG52" s="30"/>
      <c r="DH52" s="30"/>
      <c r="DI52" s="30"/>
      <c r="DJ52" s="30"/>
      <c r="DK52" s="33">
        <v>13.75</v>
      </c>
      <c r="DL52" s="33">
        <v>20</v>
      </c>
      <c r="DM52" s="33">
        <v>15</v>
      </c>
      <c r="DN52" s="33">
        <v>10</v>
      </c>
      <c r="DO52" s="33">
        <v>28.333333333333332</v>
      </c>
      <c r="DP52" s="33">
        <v>13.75</v>
      </c>
      <c r="DQ52" s="30">
        <v>3</v>
      </c>
      <c r="DR52" s="33">
        <v>0</v>
      </c>
      <c r="DS52" s="30">
        <v>20</v>
      </c>
      <c r="DT52" s="30">
        <v>100</v>
      </c>
      <c r="DU52" s="30">
        <v>15</v>
      </c>
      <c r="DV52" s="30">
        <v>10</v>
      </c>
      <c r="DW52" s="30">
        <v>15</v>
      </c>
      <c r="DX52" s="30">
        <v>5</v>
      </c>
      <c r="DY52" s="30">
        <v>15</v>
      </c>
      <c r="DZ52" s="30">
        <v>10</v>
      </c>
      <c r="EA52" s="33">
        <v>11.25</v>
      </c>
      <c r="EB52" s="30">
        <v>15</v>
      </c>
      <c r="EC52" s="30">
        <v>15</v>
      </c>
      <c r="ED52" s="30">
        <v>10</v>
      </c>
      <c r="EE52" s="30">
        <v>15</v>
      </c>
      <c r="EF52" s="30">
        <v>5</v>
      </c>
      <c r="EG52" s="30">
        <v>15</v>
      </c>
      <c r="EH52" s="30">
        <v>10</v>
      </c>
      <c r="EI52" s="30">
        <v>0</v>
      </c>
      <c r="EJ52" s="30" t="s">
        <v>277</v>
      </c>
      <c r="EK52" s="30" t="s">
        <v>277</v>
      </c>
      <c r="EL52" s="30" t="s">
        <v>277</v>
      </c>
      <c r="EM52" s="30" t="s">
        <v>277</v>
      </c>
      <c r="EN52" s="30" t="s">
        <v>277</v>
      </c>
      <c r="EO52" s="30" t="s">
        <v>277</v>
      </c>
      <c r="EP52" s="30" t="s">
        <v>277</v>
      </c>
      <c r="EQ52" s="33">
        <v>11.25</v>
      </c>
      <c r="ER52" s="33">
        <v>8</v>
      </c>
      <c r="ES52" s="33">
        <v>13.333333333333334</v>
      </c>
      <c r="ET52" s="33">
        <v>10</v>
      </c>
      <c r="EU52" s="33">
        <v>8.3333333333333339</v>
      </c>
      <c r="EV52" s="33">
        <v>11.25</v>
      </c>
      <c r="EW52" s="30">
        <v>1</v>
      </c>
      <c r="EX52" s="33">
        <v>0</v>
      </c>
      <c r="EY52" s="30">
        <v>15</v>
      </c>
      <c r="EZ52" s="30">
        <v>100</v>
      </c>
      <c r="FA52" s="30" t="s">
        <v>463</v>
      </c>
      <c r="FB52" s="30" t="s">
        <v>464</v>
      </c>
      <c r="FC52" s="30"/>
      <c r="FD52" s="32">
        <v>44851</v>
      </c>
      <c r="FE52" s="30">
        <v>186</v>
      </c>
      <c r="FF52" s="30"/>
      <c r="FG52" s="30">
        <v>10</v>
      </c>
      <c r="FH52" s="30">
        <v>10</v>
      </c>
      <c r="FI52" s="30">
        <v>10</v>
      </c>
      <c r="FJ52" s="30">
        <v>5</v>
      </c>
      <c r="FK52" s="30">
        <v>20</v>
      </c>
      <c r="FL52" s="30">
        <v>15</v>
      </c>
      <c r="FM52" s="33">
        <v>8.75</v>
      </c>
      <c r="FN52" s="30">
        <v>15</v>
      </c>
      <c r="FO52" s="30">
        <v>15</v>
      </c>
      <c r="FP52" s="30">
        <v>10</v>
      </c>
      <c r="FQ52" s="30">
        <v>10</v>
      </c>
      <c r="FR52" s="30">
        <v>5</v>
      </c>
      <c r="FS52" s="30">
        <v>25</v>
      </c>
      <c r="FT52" s="30">
        <v>20</v>
      </c>
      <c r="FU52" s="30">
        <v>35</v>
      </c>
      <c r="FV52" s="30"/>
      <c r="FW52" s="30"/>
      <c r="FX52" s="30"/>
      <c r="FY52" s="30"/>
      <c r="FZ52" s="30"/>
      <c r="GA52" s="30"/>
      <c r="GB52" s="30"/>
      <c r="GC52" s="33">
        <v>8.75</v>
      </c>
      <c r="GD52" s="33">
        <v>16</v>
      </c>
      <c r="GE52" s="33">
        <v>13.333333333333334</v>
      </c>
      <c r="GF52" s="33">
        <v>7.5</v>
      </c>
      <c r="GG52" s="33">
        <v>26.666666666666668</v>
      </c>
      <c r="GH52" s="33">
        <v>12.5</v>
      </c>
      <c r="GI52" s="30">
        <v>3</v>
      </c>
      <c r="GJ52" s="33">
        <v>0</v>
      </c>
      <c r="GK52" s="30">
        <v>25</v>
      </c>
      <c r="GL52" s="30">
        <v>100</v>
      </c>
      <c r="GM52" s="30">
        <v>15</v>
      </c>
      <c r="GN52" s="30">
        <v>15</v>
      </c>
      <c r="GO52" s="30">
        <v>20</v>
      </c>
      <c r="GP52" s="30">
        <v>5</v>
      </c>
      <c r="GQ52" s="30">
        <v>15</v>
      </c>
      <c r="GR52" s="30">
        <v>10</v>
      </c>
      <c r="GS52" s="30">
        <v>15</v>
      </c>
      <c r="GT52" s="30">
        <v>15</v>
      </c>
      <c r="GU52" s="30">
        <v>15</v>
      </c>
      <c r="GV52" s="30">
        <v>15</v>
      </c>
      <c r="GW52" s="30">
        <v>20</v>
      </c>
      <c r="GX52" s="30">
        <v>5</v>
      </c>
      <c r="GY52" s="30">
        <v>15</v>
      </c>
      <c r="GZ52" s="30">
        <v>10</v>
      </c>
      <c r="HA52" s="30">
        <v>5</v>
      </c>
      <c r="HB52" s="30"/>
      <c r="HC52" s="30"/>
      <c r="HD52" s="30"/>
      <c r="HE52" s="30"/>
      <c r="HF52" s="30"/>
      <c r="HG52" s="30"/>
      <c r="HH52" s="30"/>
      <c r="HI52" s="30">
        <v>15</v>
      </c>
      <c r="HJ52" s="30">
        <v>11</v>
      </c>
      <c r="HK52" s="30">
        <v>15</v>
      </c>
      <c r="HL52" s="30">
        <v>12.5</v>
      </c>
      <c r="HM52" s="30">
        <v>10</v>
      </c>
      <c r="HN52" s="30">
        <v>13.75</v>
      </c>
      <c r="HO52" s="30">
        <v>1</v>
      </c>
      <c r="HP52" s="30">
        <v>0</v>
      </c>
      <c r="HQ52" s="30">
        <v>20</v>
      </c>
      <c r="HR52" s="30">
        <v>100</v>
      </c>
      <c r="HS52" s="30" t="s">
        <v>465</v>
      </c>
      <c r="HT52" s="30" t="s">
        <v>466</v>
      </c>
      <c r="HU52" s="30"/>
      <c r="HV52" s="50"/>
      <c r="HW52" s="30">
        <v>-44665</v>
      </c>
      <c r="HX52" s="30"/>
      <c r="HY52" s="30"/>
      <c r="HZ52" s="30"/>
      <c r="IA52" s="30"/>
      <c r="IB52" s="30"/>
      <c r="IC52" s="30"/>
      <c r="ID52" s="30"/>
      <c r="IE52" s="30">
        <v>0</v>
      </c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>
        <v>0</v>
      </c>
      <c r="IV52" s="30" t="e">
        <v>#DIV/0!</v>
      </c>
      <c r="IW52" s="30" t="e">
        <v>#DIV/0!</v>
      </c>
      <c r="IX52" s="30" t="e">
        <v>#DIV/0!</v>
      </c>
      <c r="IY52" s="30" t="e">
        <v>#DIV/0!</v>
      </c>
      <c r="IZ52" s="30" t="e">
        <v>#DIV/0!</v>
      </c>
      <c r="JA52" s="30" t="e">
        <v>#DIV/0!</v>
      </c>
      <c r="JB52" s="30" t="e">
        <v>#DIV/0!</v>
      </c>
      <c r="JC52" s="30"/>
      <c r="JD52" s="30"/>
      <c r="JE52" s="30"/>
      <c r="JF52" s="30"/>
      <c r="JG52" s="30"/>
      <c r="JH52" s="30"/>
      <c r="JI52" s="30"/>
      <c r="JJ52" s="30"/>
      <c r="JK52" s="30">
        <v>0</v>
      </c>
      <c r="JL52" s="30"/>
      <c r="JM52" s="30"/>
      <c r="JN52" s="30"/>
      <c r="JO52" s="30"/>
      <c r="JP52" s="30"/>
      <c r="JQ52" s="30"/>
      <c r="JR52" s="30"/>
      <c r="JS52" s="30"/>
      <c r="JT52" s="30" t="s">
        <v>277</v>
      </c>
      <c r="JU52" s="30" t="s">
        <v>277</v>
      </c>
      <c r="JV52" s="30" t="s">
        <v>277</v>
      </c>
      <c r="JW52" s="30" t="s">
        <v>277</v>
      </c>
      <c r="JX52" s="30" t="s">
        <v>277</v>
      </c>
      <c r="JY52" s="30" t="s">
        <v>277</v>
      </c>
      <c r="JZ52" s="30" t="s">
        <v>277</v>
      </c>
      <c r="KA52" s="30">
        <v>0</v>
      </c>
      <c r="KB52" s="30" t="e">
        <v>#DIV/0!</v>
      </c>
      <c r="KC52" s="30" t="e">
        <v>#DIV/0!</v>
      </c>
      <c r="KD52" s="30" t="e">
        <v>#DIV/0!</v>
      </c>
      <c r="KE52" s="30" t="e">
        <v>#DIV/0!</v>
      </c>
      <c r="KF52" s="30" t="e">
        <v>#DIV/0!</v>
      </c>
      <c r="KG52" s="30" t="e">
        <v>#DIV/0!</v>
      </c>
      <c r="KH52" s="30" t="e">
        <v>#DIV/0!</v>
      </c>
      <c r="KI52" s="30"/>
      <c r="KJ52" s="30"/>
      <c r="KK52" s="30"/>
      <c r="KL52" s="30"/>
    </row>
    <row r="53" spans="1:299" s="1" customFormat="1" ht="33">
      <c r="A53" s="8" t="s">
        <v>643</v>
      </c>
      <c r="B53" s="1">
        <v>66</v>
      </c>
      <c r="C53" s="20">
        <v>60</v>
      </c>
      <c r="D53" s="1">
        <v>1</v>
      </c>
      <c r="E53" s="1" t="s">
        <v>591</v>
      </c>
      <c r="F53" s="1">
        <v>21101</v>
      </c>
      <c r="G53" s="12" t="s">
        <v>85</v>
      </c>
      <c r="H53" s="12" t="s">
        <v>171</v>
      </c>
      <c r="I53" s="12" t="s">
        <v>22</v>
      </c>
      <c r="J53" s="10">
        <v>44757</v>
      </c>
      <c r="K53" s="30" t="s">
        <v>706</v>
      </c>
      <c r="L53" s="30" t="s">
        <v>707</v>
      </c>
      <c r="M53" s="1" t="s">
        <v>164</v>
      </c>
      <c r="N53" s="14" t="s">
        <v>165</v>
      </c>
      <c r="T53" s="32">
        <v>44756</v>
      </c>
      <c r="U53" s="30">
        <v>-1</v>
      </c>
      <c r="V53" s="30" t="s">
        <v>554</v>
      </c>
      <c r="W53" s="30">
        <v>15</v>
      </c>
      <c r="X53" s="30">
        <v>15</v>
      </c>
      <c r="Y53" s="30">
        <v>10</v>
      </c>
      <c r="Z53" s="30">
        <v>15</v>
      </c>
      <c r="AA53" s="30">
        <v>20</v>
      </c>
      <c r="AB53" s="30">
        <v>30</v>
      </c>
      <c r="AC53" s="33">
        <v>12.5</v>
      </c>
      <c r="AD53" s="30">
        <v>20</v>
      </c>
      <c r="AE53" s="30">
        <v>15</v>
      </c>
      <c r="AF53" s="30">
        <v>15</v>
      </c>
      <c r="AG53" s="30">
        <v>10</v>
      </c>
      <c r="AH53" s="30">
        <v>15</v>
      </c>
      <c r="AI53" s="30">
        <v>20</v>
      </c>
      <c r="AJ53" s="30">
        <v>30</v>
      </c>
      <c r="AK53" s="30">
        <v>35</v>
      </c>
      <c r="AL53" s="31" t="s">
        <v>234</v>
      </c>
      <c r="AM53" s="31" t="s">
        <v>234</v>
      </c>
      <c r="AN53" s="31" t="s">
        <v>234</v>
      </c>
      <c r="AO53" s="31" t="s">
        <v>234</v>
      </c>
      <c r="AP53" s="31" t="s">
        <v>234</v>
      </c>
      <c r="AQ53" s="31" t="s">
        <v>234</v>
      </c>
      <c r="AR53" s="31" t="s">
        <v>234</v>
      </c>
      <c r="AS53" s="33">
        <v>12.5</v>
      </c>
      <c r="AT53" s="33">
        <v>21</v>
      </c>
      <c r="AU53" s="33">
        <v>16.666666666666668</v>
      </c>
      <c r="AV53" s="33">
        <v>12.5</v>
      </c>
      <c r="AW53" s="33">
        <v>28.333333333333332</v>
      </c>
      <c r="AX53" s="33">
        <v>15</v>
      </c>
      <c r="AY53" s="34">
        <v>3</v>
      </c>
      <c r="AZ53" s="33">
        <v>0</v>
      </c>
      <c r="BA53" s="30">
        <v>20</v>
      </c>
      <c r="BB53" s="30">
        <v>100</v>
      </c>
      <c r="BC53" s="30">
        <v>25</v>
      </c>
      <c r="BD53" s="30">
        <v>50</v>
      </c>
      <c r="BE53" s="30">
        <v>40</v>
      </c>
      <c r="BF53" s="30">
        <v>65</v>
      </c>
      <c r="BG53" s="30">
        <v>80</v>
      </c>
      <c r="BH53" s="47">
        <v>85</v>
      </c>
      <c r="BI53" s="33">
        <v>48.75</v>
      </c>
      <c r="BJ53" s="30">
        <v>70</v>
      </c>
      <c r="BK53" s="30">
        <v>70</v>
      </c>
      <c r="BL53" s="30">
        <v>70</v>
      </c>
      <c r="BM53" s="30">
        <v>85</v>
      </c>
      <c r="BN53" s="30">
        <v>100</v>
      </c>
      <c r="BO53" s="30">
        <v>100</v>
      </c>
      <c r="BP53" s="30">
        <v>115</v>
      </c>
      <c r="BQ53" s="47">
        <v>110</v>
      </c>
      <c r="BR53" s="31" t="s">
        <v>234</v>
      </c>
      <c r="BS53" s="31" t="s">
        <v>234</v>
      </c>
      <c r="BT53" s="31" t="s">
        <v>234</v>
      </c>
      <c r="BU53" s="31" t="s">
        <v>234</v>
      </c>
      <c r="BV53" s="31" t="s">
        <v>234</v>
      </c>
      <c r="BW53" s="31" t="s">
        <v>234</v>
      </c>
      <c r="BX53" s="31" t="s">
        <v>234</v>
      </c>
      <c r="BY53" s="33">
        <v>85</v>
      </c>
      <c r="BZ53" s="33">
        <v>96</v>
      </c>
      <c r="CA53" s="33">
        <v>70</v>
      </c>
      <c r="CB53" s="33">
        <v>92.5</v>
      </c>
      <c r="CC53" s="33">
        <v>108.33333333333333</v>
      </c>
      <c r="CD53" s="33">
        <v>88.75</v>
      </c>
      <c r="CE53" s="30">
        <v>3</v>
      </c>
      <c r="CF53" s="33">
        <v>4</v>
      </c>
      <c r="CG53" s="30">
        <v>90</v>
      </c>
      <c r="CH53" s="30">
        <v>40</v>
      </c>
      <c r="CI53" s="30" t="s">
        <v>467</v>
      </c>
      <c r="CJ53" s="31" t="s">
        <v>468</v>
      </c>
      <c r="CK53" s="56"/>
      <c r="CL53" s="32">
        <v>44886</v>
      </c>
      <c r="CM53" s="30">
        <v>129</v>
      </c>
      <c r="CN53" s="30"/>
      <c r="CO53" s="30">
        <v>20</v>
      </c>
      <c r="CP53" s="30">
        <v>25</v>
      </c>
      <c r="CQ53" s="30">
        <v>15</v>
      </c>
      <c r="CR53" s="30">
        <v>10</v>
      </c>
      <c r="CS53" s="30">
        <v>15</v>
      </c>
      <c r="CT53" s="30">
        <v>20</v>
      </c>
      <c r="CU53" s="33">
        <v>16.25</v>
      </c>
      <c r="CV53" s="30">
        <v>30</v>
      </c>
      <c r="CW53" s="30">
        <v>25</v>
      </c>
      <c r="CX53" s="30">
        <v>25</v>
      </c>
      <c r="CY53" s="30">
        <v>15</v>
      </c>
      <c r="CZ53" s="30">
        <v>10</v>
      </c>
      <c r="DA53" s="30">
        <v>15</v>
      </c>
      <c r="DB53" s="30">
        <v>25</v>
      </c>
      <c r="DC53" s="30">
        <v>35</v>
      </c>
      <c r="DD53" s="30"/>
      <c r="DE53" s="30"/>
      <c r="DF53" s="30"/>
      <c r="DG53" s="30"/>
      <c r="DH53" s="30"/>
      <c r="DI53" s="30"/>
      <c r="DJ53" s="30"/>
      <c r="DK53" s="33">
        <v>16.25</v>
      </c>
      <c r="DL53" s="33">
        <v>22</v>
      </c>
      <c r="DM53" s="33">
        <v>26.666666666666668</v>
      </c>
      <c r="DN53" s="33">
        <v>12.5</v>
      </c>
      <c r="DO53" s="33">
        <v>25</v>
      </c>
      <c r="DP53" s="33">
        <v>16.25</v>
      </c>
      <c r="DQ53" s="30" t="s">
        <v>235</v>
      </c>
      <c r="DR53" s="33">
        <v>0</v>
      </c>
      <c r="DS53" s="30">
        <v>20</v>
      </c>
      <c r="DT53" s="30">
        <v>100</v>
      </c>
      <c r="DU53" s="30">
        <v>20</v>
      </c>
      <c r="DV53" s="30">
        <v>30</v>
      </c>
      <c r="DW53" s="30">
        <v>15</v>
      </c>
      <c r="DX53" s="30">
        <v>25</v>
      </c>
      <c r="DY53" s="30">
        <v>65</v>
      </c>
      <c r="DZ53" s="30">
        <v>65</v>
      </c>
      <c r="EA53" s="33">
        <v>21.25</v>
      </c>
      <c r="EB53" s="42">
        <v>90</v>
      </c>
      <c r="EC53" s="30">
        <v>85</v>
      </c>
      <c r="ED53" s="30">
        <v>75</v>
      </c>
      <c r="EE53" s="30">
        <v>75</v>
      </c>
      <c r="EF53" s="30">
        <v>50</v>
      </c>
      <c r="EG53" s="30">
        <v>100</v>
      </c>
      <c r="EH53" s="30">
        <v>70</v>
      </c>
      <c r="EI53" s="42">
        <v>105</v>
      </c>
      <c r="EJ53" s="30" t="s">
        <v>277</v>
      </c>
      <c r="EK53" s="30" t="s">
        <v>277</v>
      </c>
      <c r="EL53" s="30" t="s">
        <v>277</v>
      </c>
      <c r="EM53" s="30" t="s">
        <v>277</v>
      </c>
      <c r="EN53" s="30" t="s">
        <v>277</v>
      </c>
      <c r="EO53" s="30" t="s">
        <v>277</v>
      </c>
      <c r="EP53" s="30" t="s">
        <v>277</v>
      </c>
      <c r="EQ53" s="33">
        <v>68.75</v>
      </c>
      <c r="ER53" s="33">
        <v>75</v>
      </c>
      <c r="ES53" s="33">
        <v>83.333333333333329</v>
      </c>
      <c r="ET53" s="33">
        <v>62.5</v>
      </c>
      <c r="EU53" s="33">
        <v>91.666666666666671</v>
      </c>
      <c r="EV53" s="33">
        <v>75</v>
      </c>
      <c r="EW53" s="30" t="s">
        <v>235</v>
      </c>
      <c r="EX53" s="33">
        <v>3</v>
      </c>
      <c r="EY53" s="30">
        <v>70</v>
      </c>
      <c r="EZ53" s="30">
        <v>75</v>
      </c>
      <c r="FA53" s="30"/>
      <c r="FB53" s="30"/>
      <c r="FC53" s="56" t="s">
        <v>469</v>
      </c>
      <c r="FD53" s="32">
        <v>44942</v>
      </c>
      <c r="FE53" s="30">
        <v>185</v>
      </c>
      <c r="FF53" s="30"/>
      <c r="FG53" s="30">
        <v>10</v>
      </c>
      <c r="FH53" s="30">
        <v>15</v>
      </c>
      <c r="FI53" s="30">
        <v>10</v>
      </c>
      <c r="FJ53" s="30">
        <v>20</v>
      </c>
      <c r="FK53" s="30">
        <v>20</v>
      </c>
      <c r="FL53" s="30">
        <v>30</v>
      </c>
      <c r="FM53" s="33">
        <v>13.75</v>
      </c>
      <c r="FN53" s="30">
        <v>20</v>
      </c>
      <c r="FO53" s="30">
        <v>10</v>
      </c>
      <c r="FP53" s="30">
        <v>15</v>
      </c>
      <c r="FQ53" s="30">
        <v>10</v>
      </c>
      <c r="FR53" s="30">
        <v>20</v>
      </c>
      <c r="FS53" s="30">
        <v>20</v>
      </c>
      <c r="FT53" s="30">
        <v>30</v>
      </c>
      <c r="FU53" s="30">
        <v>30</v>
      </c>
      <c r="FV53" s="30"/>
      <c r="FW53" s="30"/>
      <c r="FX53" s="30"/>
      <c r="FY53" s="30"/>
      <c r="FZ53" s="30"/>
      <c r="GA53" s="30"/>
      <c r="GB53" s="30"/>
      <c r="GC53" s="33">
        <v>13.75</v>
      </c>
      <c r="GD53" s="33">
        <v>21</v>
      </c>
      <c r="GE53" s="33">
        <v>15</v>
      </c>
      <c r="GF53" s="33">
        <v>15</v>
      </c>
      <c r="GG53" s="33">
        <v>26.666666666666668</v>
      </c>
      <c r="GH53" s="33">
        <v>16.25</v>
      </c>
      <c r="GI53" s="30">
        <v>3</v>
      </c>
      <c r="GJ53" s="33">
        <v>0</v>
      </c>
      <c r="GK53" s="30">
        <v>20</v>
      </c>
      <c r="GL53" s="30">
        <v>100</v>
      </c>
      <c r="GM53" s="30">
        <v>10</v>
      </c>
      <c r="GN53" s="30">
        <v>30</v>
      </c>
      <c r="GO53" s="30">
        <v>20</v>
      </c>
      <c r="GP53" s="30">
        <v>30</v>
      </c>
      <c r="GQ53" s="30">
        <v>65</v>
      </c>
      <c r="GR53" s="30">
        <v>75</v>
      </c>
      <c r="GS53" s="30">
        <v>25</v>
      </c>
      <c r="GT53" s="30">
        <v>75</v>
      </c>
      <c r="GU53" s="30">
        <v>70</v>
      </c>
      <c r="GV53" s="30">
        <v>70</v>
      </c>
      <c r="GW53" s="30">
        <v>80</v>
      </c>
      <c r="GX53" s="30">
        <v>65</v>
      </c>
      <c r="GY53" s="42">
        <v>125</v>
      </c>
      <c r="GZ53" s="42">
        <v>125</v>
      </c>
      <c r="HA53" s="42">
        <v>110</v>
      </c>
      <c r="HB53" s="30"/>
      <c r="HC53" s="30"/>
      <c r="HD53" s="30"/>
      <c r="HE53" s="30"/>
      <c r="HF53" s="30"/>
      <c r="HG53" s="30"/>
      <c r="HH53" s="30"/>
      <c r="HI53" s="30">
        <v>73.75</v>
      </c>
      <c r="HJ53" s="30">
        <v>90</v>
      </c>
      <c r="HK53" s="30">
        <v>71.666666666666671</v>
      </c>
      <c r="HL53" s="30">
        <v>72.5</v>
      </c>
      <c r="HM53" s="30">
        <v>120</v>
      </c>
      <c r="HN53" s="30">
        <v>85</v>
      </c>
      <c r="HO53" s="30">
        <v>3</v>
      </c>
      <c r="HP53" s="30">
        <v>4</v>
      </c>
      <c r="HQ53" s="30">
        <v>75</v>
      </c>
      <c r="HR53" s="30">
        <v>100</v>
      </c>
      <c r="HS53" s="30" t="s">
        <v>470</v>
      </c>
      <c r="HT53" s="30" t="s">
        <v>471</v>
      </c>
      <c r="HU53" s="56"/>
      <c r="HV53" s="50"/>
      <c r="HW53" s="30">
        <v>-44757</v>
      </c>
      <c r="HX53" s="30"/>
      <c r="HY53" s="30"/>
      <c r="HZ53" s="30"/>
      <c r="IA53" s="30"/>
      <c r="IB53" s="30"/>
      <c r="IC53" s="30"/>
      <c r="ID53" s="30"/>
      <c r="IE53" s="30">
        <v>0</v>
      </c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>
        <v>0</v>
      </c>
      <c r="IV53" s="30" t="e">
        <v>#DIV/0!</v>
      </c>
      <c r="IW53" s="30" t="e">
        <v>#DIV/0!</v>
      </c>
      <c r="IX53" s="30" t="e">
        <v>#DIV/0!</v>
      </c>
      <c r="IY53" s="30" t="e">
        <v>#DIV/0!</v>
      </c>
      <c r="IZ53" s="30" t="e">
        <v>#DIV/0!</v>
      </c>
      <c r="JA53" s="30" t="e">
        <v>#DIV/0!</v>
      </c>
      <c r="JB53" s="30" t="e">
        <v>#DIV/0!</v>
      </c>
      <c r="JC53" s="30"/>
      <c r="JD53" s="30"/>
      <c r="JE53" s="30"/>
      <c r="JF53" s="30"/>
      <c r="JG53" s="30"/>
      <c r="JH53" s="30"/>
      <c r="JI53" s="30"/>
      <c r="JJ53" s="30"/>
      <c r="JK53" s="30">
        <v>0</v>
      </c>
      <c r="JL53" s="30"/>
      <c r="JM53" s="30"/>
      <c r="JN53" s="30"/>
      <c r="JO53" s="30"/>
      <c r="JP53" s="30"/>
      <c r="JQ53" s="30"/>
      <c r="JR53" s="30"/>
      <c r="JS53" s="30"/>
      <c r="JT53" s="30" t="s">
        <v>277</v>
      </c>
      <c r="JU53" s="30" t="s">
        <v>277</v>
      </c>
      <c r="JV53" s="30" t="s">
        <v>277</v>
      </c>
      <c r="JW53" s="30" t="s">
        <v>277</v>
      </c>
      <c r="JX53" s="30" t="s">
        <v>277</v>
      </c>
      <c r="JY53" s="30" t="s">
        <v>277</v>
      </c>
      <c r="JZ53" s="30" t="s">
        <v>277</v>
      </c>
      <c r="KA53" s="30">
        <v>0</v>
      </c>
      <c r="KB53" s="30" t="e">
        <v>#DIV/0!</v>
      </c>
      <c r="KC53" s="30" t="e">
        <v>#DIV/0!</v>
      </c>
      <c r="KD53" s="30" t="e">
        <v>#DIV/0!</v>
      </c>
      <c r="KE53" s="30" t="e">
        <v>#DIV/0!</v>
      </c>
      <c r="KF53" s="30" t="e">
        <v>#DIV/0!</v>
      </c>
      <c r="KG53" s="30" t="e">
        <v>#DIV/0!</v>
      </c>
      <c r="KH53" s="30" t="e">
        <v>#DIV/0!</v>
      </c>
      <c r="KI53" s="30"/>
      <c r="KJ53" s="30"/>
      <c r="KK53" s="30"/>
      <c r="KL53" s="30"/>
    </row>
    <row r="54" spans="1:299" s="1" customFormat="1" ht="66">
      <c r="A54" s="8" t="s">
        <v>644</v>
      </c>
      <c r="B54" s="1">
        <v>63</v>
      </c>
      <c r="C54" s="20">
        <v>60</v>
      </c>
      <c r="D54" s="1">
        <v>2</v>
      </c>
      <c r="E54" s="1" t="s">
        <v>588</v>
      </c>
      <c r="F54" s="1">
        <v>21095</v>
      </c>
      <c r="G54" s="1" t="s">
        <v>32</v>
      </c>
      <c r="H54" s="1" t="s">
        <v>31</v>
      </c>
      <c r="I54" s="1" t="s">
        <v>22</v>
      </c>
      <c r="J54" s="10">
        <v>45117</v>
      </c>
      <c r="K54" s="30" t="s">
        <v>661</v>
      </c>
      <c r="L54" s="79" t="s">
        <v>723</v>
      </c>
      <c r="M54" s="1" t="s">
        <v>145</v>
      </c>
      <c r="N54" s="1" t="s">
        <v>139</v>
      </c>
      <c r="T54" s="32">
        <v>45112</v>
      </c>
      <c r="U54" s="30">
        <v>-5</v>
      </c>
      <c r="V54" s="30" t="s">
        <v>571</v>
      </c>
      <c r="W54" s="30">
        <v>20</v>
      </c>
      <c r="X54" s="30">
        <v>30</v>
      </c>
      <c r="Y54" s="30">
        <v>20</v>
      </c>
      <c r="Z54" s="30">
        <v>35</v>
      </c>
      <c r="AA54" s="30">
        <v>30</v>
      </c>
      <c r="AB54" s="30">
        <v>20</v>
      </c>
      <c r="AC54" s="33">
        <v>26.25</v>
      </c>
      <c r="AD54" s="30">
        <v>50</v>
      </c>
      <c r="AE54" s="30">
        <v>50</v>
      </c>
      <c r="AF54" s="30">
        <v>45</v>
      </c>
      <c r="AG54" s="30">
        <v>40</v>
      </c>
      <c r="AH54" s="30">
        <v>45</v>
      </c>
      <c r="AI54" s="30">
        <v>45</v>
      </c>
      <c r="AJ54" s="30">
        <v>50</v>
      </c>
      <c r="AK54" s="30">
        <v>60</v>
      </c>
      <c r="AL54" s="31" t="s">
        <v>234</v>
      </c>
      <c r="AM54" s="31" t="s">
        <v>234</v>
      </c>
      <c r="AN54" s="31" t="s">
        <v>234</v>
      </c>
      <c r="AO54" s="31" t="s">
        <v>234</v>
      </c>
      <c r="AP54" s="31" t="s">
        <v>234</v>
      </c>
      <c r="AQ54" s="31" t="s">
        <v>234</v>
      </c>
      <c r="AR54" s="31" t="s">
        <v>234</v>
      </c>
      <c r="AS54" s="33">
        <v>42.5</v>
      </c>
      <c r="AT54" s="33">
        <v>48</v>
      </c>
      <c r="AU54" s="33">
        <v>48.333333333333336</v>
      </c>
      <c r="AV54" s="33">
        <v>42.5</v>
      </c>
      <c r="AW54" s="33">
        <v>51.666666666666664</v>
      </c>
      <c r="AX54" s="33">
        <v>43.75</v>
      </c>
      <c r="AY54" s="34" t="s">
        <v>235</v>
      </c>
      <c r="AZ54" s="33">
        <v>2</v>
      </c>
      <c r="BA54" s="30">
        <v>45</v>
      </c>
      <c r="BB54" s="30">
        <v>100</v>
      </c>
      <c r="BC54" s="30">
        <v>5</v>
      </c>
      <c r="BD54" s="30">
        <v>35</v>
      </c>
      <c r="BE54" s="30">
        <v>20</v>
      </c>
      <c r="BF54" s="30">
        <v>30</v>
      </c>
      <c r="BG54" s="30">
        <v>20</v>
      </c>
      <c r="BH54" s="30">
        <v>20</v>
      </c>
      <c r="BI54" s="33">
        <v>26.25</v>
      </c>
      <c r="BJ54" s="30">
        <v>35</v>
      </c>
      <c r="BK54" s="30">
        <v>40</v>
      </c>
      <c r="BL54" s="30">
        <v>35</v>
      </c>
      <c r="BM54" s="30">
        <v>40</v>
      </c>
      <c r="BN54" s="30">
        <v>30</v>
      </c>
      <c r="BO54" s="30">
        <v>20</v>
      </c>
      <c r="BP54" s="30">
        <v>40</v>
      </c>
      <c r="BQ54" s="30">
        <v>40</v>
      </c>
      <c r="BR54" s="31" t="s">
        <v>234</v>
      </c>
      <c r="BS54" s="31" t="s">
        <v>234</v>
      </c>
      <c r="BT54" s="31" t="s">
        <v>234</v>
      </c>
      <c r="BU54" s="31" t="s">
        <v>234</v>
      </c>
      <c r="BV54" s="31" t="s">
        <v>234</v>
      </c>
      <c r="BW54" s="31" t="s">
        <v>234</v>
      </c>
      <c r="BX54" s="31" t="s">
        <v>234</v>
      </c>
      <c r="BY54" s="33">
        <v>36.25</v>
      </c>
      <c r="BZ54" s="33">
        <v>37</v>
      </c>
      <c r="CA54" s="33">
        <v>36.666666666666664</v>
      </c>
      <c r="CB54" s="33">
        <v>35</v>
      </c>
      <c r="CC54" s="33">
        <v>33.333333333333336</v>
      </c>
      <c r="CD54" s="33">
        <v>31.25</v>
      </c>
      <c r="CE54" s="30" t="s">
        <v>235</v>
      </c>
      <c r="CF54" s="33">
        <v>1</v>
      </c>
      <c r="CG54" s="30">
        <v>35</v>
      </c>
      <c r="CH54" s="30">
        <v>100</v>
      </c>
      <c r="CI54" s="30" t="s">
        <v>472</v>
      </c>
      <c r="CJ54" s="30" t="s">
        <v>473</v>
      </c>
      <c r="CK54" s="56"/>
      <c r="CL54" s="32">
        <v>45223</v>
      </c>
      <c r="CM54" s="30">
        <v>106</v>
      </c>
      <c r="CN54" s="30"/>
      <c r="CO54" s="30">
        <v>15</v>
      </c>
      <c r="CP54" s="30">
        <v>30</v>
      </c>
      <c r="CQ54" s="30">
        <v>25</v>
      </c>
      <c r="CR54" s="30">
        <v>30</v>
      </c>
      <c r="CS54" s="30">
        <v>30</v>
      </c>
      <c r="CT54" s="30">
        <v>20</v>
      </c>
      <c r="CU54" s="33">
        <v>27.5</v>
      </c>
      <c r="CV54" s="30">
        <v>55</v>
      </c>
      <c r="CW54" s="30">
        <v>55</v>
      </c>
      <c r="CX54" s="30">
        <v>50</v>
      </c>
      <c r="CY54" s="30">
        <v>40</v>
      </c>
      <c r="CZ54" s="30">
        <v>40</v>
      </c>
      <c r="DA54" s="30">
        <v>45</v>
      </c>
      <c r="DB54" s="30">
        <v>55</v>
      </c>
      <c r="DC54" s="30">
        <v>50</v>
      </c>
      <c r="DD54" s="30" t="s">
        <v>277</v>
      </c>
      <c r="DE54" s="30" t="s">
        <v>277</v>
      </c>
      <c r="DF54" s="30" t="s">
        <v>277</v>
      </c>
      <c r="DG54" s="30" t="s">
        <v>277</v>
      </c>
      <c r="DH54" s="30" t="s">
        <v>277</v>
      </c>
      <c r="DI54" s="30" t="s">
        <v>277</v>
      </c>
      <c r="DJ54" s="30" t="s">
        <v>277</v>
      </c>
      <c r="DK54" s="33">
        <v>42.5</v>
      </c>
      <c r="DL54" s="33">
        <v>47</v>
      </c>
      <c r="DM54" s="33">
        <v>53.333333333333336</v>
      </c>
      <c r="DN54" s="33">
        <v>40</v>
      </c>
      <c r="DO54" s="33">
        <v>50</v>
      </c>
      <c r="DP54" s="33">
        <v>43.75</v>
      </c>
      <c r="DQ54" s="30">
        <v>4</v>
      </c>
      <c r="DR54" s="33">
        <v>2</v>
      </c>
      <c r="DS54" s="30">
        <v>40</v>
      </c>
      <c r="DT54" s="30">
        <v>100</v>
      </c>
      <c r="DU54" s="30">
        <v>10</v>
      </c>
      <c r="DV54" s="30">
        <v>25</v>
      </c>
      <c r="DW54" s="30">
        <v>15</v>
      </c>
      <c r="DX54" s="30">
        <v>30</v>
      </c>
      <c r="DY54" s="30">
        <v>30</v>
      </c>
      <c r="DZ54" s="30">
        <v>20</v>
      </c>
      <c r="EA54" s="33">
        <v>21.25</v>
      </c>
      <c r="EB54" s="30">
        <v>60</v>
      </c>
      <c r="EC54" s="30">
        <v>55</v>
      </c>
      <c r="ED54" s="30">
        <v>55</v>
      </c>
      <c r="EE54" s="30">
        <v>45</v>
      </c>
      <c r="EF54" s="30">
        <v>40</v>
      </c>
      <c r="EG54" s="30">
        <v>30</v>
      </c>
      <c r="EH54" s="30">
        <v>35</v>
      </c>
      <c r="EI54" s="30">
        <v>25</v>
      </c>
      <c r="EJ54" s="30" t="s">
        <v>277</v>
      </c>
      <c r="EK54" s="30" t="s">
        <v>277</v>
      </c>
      <c r="EL54" s="30" t="s">
        <v>277</v>
      </c>
      <c r="EM54" s="30" t="s">
        <v>277</v>
      </c>
      <c r="EN54" s="30" t="s">
        <v>277</v>
      </c>
      <c r="EO54" s="30" t="s">
        <v>277</v>
      </c>
      <c r="EP54" s="30" t="s">
        <v>277</v>
      </c>
      <c r="EQ54" s="33">
        <v>46.25</v>
      </c>
      <c r="ER54" s="33">
        <v>40</v>
      </c>
      <c r="ES54" s="33">
        <v>56.666666666666664</v>
      </c>
      <c r="ET54" s="33">
        <v>42.5</v>
      </c>
      <c r="EU54" s="33">
        <v>30</v>
      </c>
      <c r="EV54" s="33">
        <v>42.5</v>
      </c>
      <c r="EW54" s="30">
        <v>1</v>
      </c>
      <c r="EX54" s="33">
        <v>2</v>
      </c>
      <c r="EY54" s="30">
        <v>40</v>
      </c>
      <c r="EZ54" s="30">
        <v>100</v>
      </c>
      <c r="FA54" s="30" t="s">
        <v>474</v>
      </c>
      <c r="FB54" s="30" t="s">
        <v>475</v>
      </c>
      <c r="FC54" s="56"/>
      <c r="FD54" s="32">
        <v>45322</v>
      </c>
      <c r="FE54" s="30">
        <v>205</v>
      </c>
      <c r="FF54" s="30"/>
      <c r="FG54" s="30">
        <v>10</v>
      </c>
      <c r="FH54" s="30">
        <v>25</v>
      </c>
      <c r="FI54" s="30">
        <v>15</v>
      </c>
      <c r="FJ54" s="30">
        <v>40</v>
      </c>
      <c r="FK54" s="30">
        <v>45</v>
      </c>
      <c r="FL54" s="30">
        <v>25</v>
      </c>
      <c r="FM54" s="33">
        <v>23.75</v>
      </c>
      <c r="FN54" s="30">
        <v>60</v>
      </c>
      <c r="FO54" s="30">
        <v>55</v>
      </c>
      <c r="FP54" s="30">
        <v>45</v>
      </c>
      <c r="FQ54" s="30">
        <v>50</v>
      </c>
      <c r="FR54" s="30">
        <v>40</v>
      </c>
      <c r="FS54" s="30">
        <v>45</v>
      </c>
      <c r="FT54" s="30">
        <v>50</v>
      </c>
      <c r="FU54" s="30">
        <v>45</v>
      </c>
      <c r="FV54" s="30" t="s">
        <v>234</v>
      </c>
      <c r="FW54" s="30" t="s">
        <v>234</v>
      </c>
      <c r="FX54" s="30" t="s">
        <v>234</v>
      </c>
      <c r="FY54" s="30" t="s">
        <v>234</v>
      </c>
      <c r="FZ54" s="30" t="s">
        <v>234</v>
      </c>
      <c r="GA54" s="30" t="s">
        <v>234</v>
      </c>
      <c r="GB54" s="30" t="s">
        <v>234</v>
      </c>
      <c r="GC54" s="33">
        <v>46.25</v>
      </c>
      <c r="GD54" s="33">
        <v>46</v>
      </c>
      <c r="GE54" s="33">
        <v>53.333333333333336</v>
      </c>
      <c r="GF54" s="33">
        <v>45</v>
      </c>
      <c r="GG54" s="33">
        <v>46.666666666666664</v>
      </c>
      <c r="GH54" s="33">
        <v>45</v>
      </c>
      <c r="GI54" s="30">
        <v>6</v>
      </c>
      <c r="GJ54" s="33">
        <v>2</v>
      </c>
      <c r="GK54" s="30">
        <v>50</v>
      </c>
      <c r="GL54" s="30">
        <v>100</v>
      </c>
      <c r="GM54" s="30">
        <v>10</v>
      </c>
      <c r="GN54" s="30">
        <v>30</v>
      </c>
      <c r="GO54" s="30">
        <v>20</v>
      </c>
      <c r="GP54" s="30">
        <v>30</v>
      </c>
      <c r="GQ54" s="30">
        <v>20</v>
      </c>
      <c r="GR54" s="30">
        <v>20</v>
      </c>
      <c r="GS54" s="30">
        <v>25</v>
      </c>
      <c r="GT54" s="30">
        <v>60</v>
      </c>
      <c r="GU54" s="30">
        <v>60</v>
      </c>
      <c r="GV54" s="30">
        <v>55</v>
      </c>
      <c r="GW54" s="30">
        <v>60</v>
      </c>
      <c r="GX54" s="30">
        <v>35</v>
      </c>
      <c r="GY54" s="30">
        <v>35</v>
      </c>
      <c r="GZ54" s="30">
        <v>40</v>
      </c>
      <c r="HA54" s="30">
        <v>40</v>
      </c>
      <c r="HB54" s="30" t="s">
        <v>277</v>
      </c>
      <c r="HC54" s="30" t="s">
        <v>277</v>
      </c>
      <c r="HD54" s="30" t="s">
        <v>277</v>
      </c>
      <c r="HE54" s="30" t="s">
        <v>277</v>
      </c>
      <c r="HF54" s="30" t="s">
        <v>277</v>
      </c>
      <c r="HG54" s="30" t="s">
        <v>277</v>
      </c>
      <c r="HH54" s="30" t="s">
        <v>277</v>
      </c>
      <c r="HI54" s="30">
        <v>52.5</v>
      </c>
      <c r="HJ54" s="30">
        <v>46</v>
      </c>
      <c r="HK54" s="30">
        <v>58.333333333333336</v>
      </c>
      <c r="HL54" s="30">
        <v>47.5</v>
      </c>
      <c r="HM54" s="30">
        <v>38.333333333333336</v>
      </c>
      <c r="HN54" s="30">
        <v>46.25</v>
      </c>
      <c r="HO54" s="30">
        <v>1</v>
      </c>
      <c r="HP54" s="30">
        <v>2</v>
      </c>
      <c r="HQ54" s="30">
        <v>50</v>
      </c>
      <c r="HR54" s="30">
        <v>100</v>
      </c>
      <c r="HS54" s="30" t="s">
        <v>476</v>
      </c>
      <c r="HT54" s="30" t="s">
        <v>477</v>
      </c>
      <c r="HU54" s="56"/>
      <c r="HV54" s="66">
        <v>45399</v>
      </c>
      <c r="HW54" s="30">
        <v>282</v>
      </c>
      <c r="HX54" s="30"/>
      <c r="HY54" s="30">
        <v>15</v>
      </c>
      <c r="HZ54" s="30">
        <v>30</v>
      </c>
      <c r="IA54" s="30">
        <v>20</v>
      </c>
      <c r="IB54" s="30">
        <v>40</v>
      </c>
      <c r="IC54" s="30">
        <v>35</v>
      </c>
      <c r="ID54" s="30">
        <v>30</v>
      </c>
      <c r="IE54" s="30">
        <v>27.5</v>
      </c>
      <c r="IF54" s="30">
        <v>55</v>
      </c>
      <c r="IG54" s="30">
        <v>55</v>
      </c>
      <c r="IH54" s="30">
        <v>45</v>
      </c>
      <c r="II54" s="30">
        <v>50</v>
      </c>
      <c r="IJ54" s="30">
        <v>40</v>
      </c>
      <c r="IK54" s="30">
        <v>50</v>
      </c>
      <c r="IL54" s="30">
        <v>45</v>
      </c>
      <c r="IM54" s="30">
        <v>55</v>
      </c>
      <c r="IN54" s="30"/>
      <c r="IO54" s="30"/>
      <c r="IP54" s="30"/>
      <c r="IQ54" s="30"/>
      <c r="IR54" s="30"/>
      <c r="IS54" s="30"/>
      <c r="IT54" s="30"/>
      <c r="IU54" s="30">
        <v>46.25</v>
      </c>
      <c r="IV54" s="30">
        <v>47</v>
      </c>
      <c r="IW54" s="30">
        <v>51.666666666666664</v>
      </c>
      <c r="IX54" s="30">
        <v>45</v>
      </c>
      <c r="IY54" s="30">
        <v>50</v>
      </c>
      <c r="IZ54" s="30">
        <v>46.25</v>
      </c>
      <c r="JA54" s="30">
        <v>6</v>
      </c>
      <c r="JB54" s="30">
        <v>2</v>
      </c>
      <c r="JC54" s="30">
        <v>50</v>
      </c>
      <c r="JD54" s="30">
        <v>100</v>
      </c>
      <c r="JE54" s="30">
        <v>10</v>
      </c>
      <c r="JF54" s="30">
        <v>30</v>
      </c>
      <c r="JG54" s="30">
        <v>25</v>
      </c>
      <c r="JH54" s="30">
        <v>30</v>
      </c>
      <c r="JI54" s="30">
        <v>25</v>
      </c>
      <c r="JJ54" s="30">
        <v>25</v>
      </c>
      <c r="JK54" s="30">
        <v>27.5</v>
      </c>
      <c r="JL54" s="30">
        <v>60</v>
      </c>
      <c r="JM54" s="30">
        <v>60</v>
      </c>
      <c r="JN54" s="30">
        <v>60</v>
      </c>
      <c r="JO54" s="30">
        <v>70</v>
      </c>
      <c r="JP54" s="30">
        <v>55</v>
      </c>
      <c r="JQ54" s="30">
        <v>55</v>
      </c>
      <c r="JR54" s="30">
        <v>60</v>
      </c>
      <c r="JS54" s="30">
        <v>65</v>
      </c>
      <c r="JT54" s="30"/>
      <c r="JU54" s="30"/>
      <c r="JV54" s="30"/>
      <c r="JW54" s="30"/>
      <c r="JX54" s="30"/>
      <c r="JY54" s="30"/>
      <c r="JZ54" s="30"/>
      <c r="KA54" s="30">
        <v>63.75</v>
      </c>
      <c r="KB54" s="30">
        <v>62</v>
      </c>
      <c r="KC54" s="30">
        <v>60</v>
      </c>
      <c r="KD54" s="30">
        <v>62.5</v>
      </c>
      <c r="KE54" s="30">
        <v>60</v>
      </c>
      <c r="KF54" s="30">
        <v>60</v>
      </c>
      <c r="KG54" s="30">
        <v>6</v>
      </c>
      <c r="KH54" s="30">
        <v>2</v>
      </c>
      <c r="KI54" s="30">
        <v>55</v>
      </c>
      <c r="KJ54" s="30">
        <v>100</v>
      </c>
      <c r="KK54" s="30"/>
      <c r="KL54" s="30"/>
    </row>
    <row r="55" spans="1:299" s="1" customFormat="1">
      <c r="A55" s="8" t="s">
        <v>645</v>
      </c>
      <c r="B55" s="1">
        <v>28</v>
      </c>
      <c r="C55" s="20">
        <v>20</v>
      </c>
      <c r="D55" s="1">
        <v>1</v>
      </c>
      <c r="E55" s="1" t="s">
        <v>590</v>
      </c>
      <c r="F55" s="1">
        <v>21094</v>
      </c>
      <c r="G55" s="12" t="s">
        <v>62</v>
      </c>
      <c r="H55" s="12" t="s">
        <v>63</v>
      </c>
      <c r="I55" s="12" t="s">
        <v>22</v>
      </c>
      <c r="J55" s="13">
        <v>44894</v>
      </c>
      <c r="K55" s="30" t="s">
        <v>661</v>
      </c>
      <c r="L55" s="30" t="s">
        <v>666</v>
      </c>
      <c r="M55" s="12" t="s">
        <v>156</v>
      </c>
      <c r="N55" s="12" t="s">
        <v>157</v>
      </c>
      <c r="T55" s="32">
        <v>44886</v>
      </c>
      <c r="U55" s="30">
        <v>-8</v>
      </c>
      <c r="V55" s="30"/>
      <c r="W55" s="30">
        <v>10</v>
      </c>
      <c r="X55" s="30">
        <v>25</v>
      </c>
      <c r="Y55" s="30">
        <v>20</v>
      </c>
      <c r="Z55" s="30">
        <v>20</v>
      </c>
      <c r="AA55" s="30">
        <v>5</v>
      </c>
      <c r="AB55" s="30">
        <v>15</v>
      </c>
      <c r="AC55" s="33">
        <v>21.25</v>
      </c>
      <c r="AD55" s="30">
        <v>25</v>
      </c>
      <c r="AE55" s="30">
        <v>20</v>
      </c>
      <c r="AF55" s="30">
        <v>25</v>
      </c>
      <c r="AG55" s="30">
        <v>20</v>
      </c>
      <c r="AH55" s="30">
        <v>20</v>
      </c>
      <c r="AI55" s="30">
        <v>5</v>
      </c>
      <c r="AJ55" s="30">
        <v>15</v>
      </c>
      <c r="AK55" s="30">
        <v>20</v>
      </c>
      <c r="AL55" s="31" t="s">
        <v>234</v>
      </c>
      <c r="AM55" s="31" t="s">
        <v>234</v>
      </c>
      <c r="AN55" s="31" t="s">
        <v>234</v>
      </c>
      <c r="AO55" s="31" t="s">
        <v>234</v>
      </c>
      <c r="AP55" s="31" t="s">
        <v>234</v>
      </c>
      <c r="AQ55" s="31" t="s">
        <v>234</v>
      </c>
      <c r="AR55" s="31" t="s">
        <v>234</v>
      </c>
      <c r="AS55" s="33">
        <v>21.25</v>
      </c>
      <c r="AT55" s="33">
        <v>20</v>
      </c>
      <c r="AU55" s="33">
        <v>23.333333333333332</v>
      </c>
      <c r="AV55" s="33">
        <v>20</v>
      </c>
      <c r="AW55" s="33">
        <v>13.333333333333334</v>
      </c>
      <c r="AX55" s="33">
        <v>17.5</v>
      </c>
      <c r="AY55" s="34">
        <v>4</v>
      </c>
      <c r="AZ55" s="33">
        <v>0</v>
      </c>
      <c r="BA55" s="30">
        <v>20</v>
      </c>
      <c r="BB55" s="30">
        <v>100</v>
      </c>
      <c r="BC55" s="30">
        <v>15</v>
      </c>
      <c r="BD55" s="30">
        <v>30</v>
      </c>
      <c r="BE55" s="30">
        <v>5</v>
      </c>
      <c r="BF55" s="30">
        <v>35</v>
      </c>
      <c r="BG55" s="30">
        <v>20</v>
      </c>
      <c r="BH55" s="30">
        <v>20</v>
      </c>
      <c r="BI55" s="33">
        <v>18.75</v>
      </c>
      <c r="BJ55" s="30">
        <v>25</v>
      </c>
      <c r="BK55" s="30">
        <v>30</v>
      </c>
      <c r="BL55" s="30">
        <v>30</v>
      </c>
      <c r="BM55" s="30">
        <v>25</v>
      </c>
      <c r="BN55" s="30">
        <v>35</v>
      </c>
      <c r="BO55" s="30">
        <v>25</v>
      </c>
      <c r="BP55" s="30">
        <v>40</v>
      </c>
      <c r="BQ55" s="30">
        <v>60</v>
      </c>
      <c r="BR55" s="31" t="s">
        <v>234</v>
      </c>
      <c r="BS55" s="31" t="s">
        <v>234</v>
      </c>
      <c r="BT55" s="31" t="s">
        <v>234</v>
      </c>
      <c r="BU55" s="31" t="s">
        <v>234</v>
      </c>
      <c r="BV55" s="31" t="s">
        <v>234</v>
      </c>
      <c r="BW55" s="31" t="s">
        <v>234</v>
      </c>
      <c r="BX55" s="31" t="s">
        <v>234</v>
      </c>
      <c r="BY55" s="33">
        <v>28.75</v>
      </c>
      <c r="BZ55" s="33">
        <v>38</v>
      </c>
      <c r="CA55" s="33">
        <v>28.333333333333332</v>
      </c>
      <c r="CB55" s="33">
        <v>30</v>
      </c>
      <c r="CC55" s="33">
        <v>41.666666666666664</v>
      </c>
      <c r="CD55" s="33">
        <v>28.75</v>
      </c>
      <c r="CE55" s="30">
        <v>3</v>
      </c>
      <c r="CF55" s="33">
        <v>1</v>
      </c>
      <c r="CG55" s="30">
        <v>35</v>
      </c>
      <c r="CH55" s="30">
        <v>100</v>
      </c>
      <c r="CI55" s="30" t="s">
        <v>478</v>
      </c>
      <c r="CJ55" s="31" t="s">
        <v>479</v>
      </c>
      <c r="CK55" s="48"/>
      <c r="CL55" s="32">
        <v>44991</v>
      </c>
      <c r="CM55" s="30">
        <v>97</v>
      </c>
      <c r="CN55" s="30"/>
      <c r="CO55" s="30">
        <v>25</v>
      </c>
      <c r="CP55" s="30">
        <v>20</v>
      </c>
      <c r="CQ55" s="30">
        <v>25</v>
      </c>
      <c r="CR55" s="30">
        <v>25</v>
      </c>
      <c r="CS55" s="30">
        <v>10</v>
      </c>
      <c r="CT55" s="30">
        <v>20</v>
      </c>
      <c r="CU55" s="33">
        <v>23.75</v>
      </c>
      <c r="CV55" s="30">
        <v>25</v>
      </c>
      <c r="CW55" s="30">
        <v>30</v>
      </c>
      <c r="CX55" s="30">
        <v>20</v>
      </c>
      <c r="CY55" s="30">
        <v>25</v>
      </c>
      <c r="CZ55" s="30">
        <v>25</v>
      </c>
      <c r="DA55" s="30">
        <v>10</v>
      </c>
      <c r="DB55" s="30">
        <v>20</v>
      </c>
      <c r="DC55" s="30">
        <v>20</v>
      </c>
      <c r="DD55" s="30" t="s">
        <v>277</v>
      </c>
      <c r="DE55" s="30" t="s">
        <v>277</v>
      </c>
      <c r="DF55" s="30" t="s">
        <v>277</v>
      </c>
      <c r="DG55" s="30" t="s">
        <v>277</v>
      </c>
      <c r="DH55" s="30" t="s">
        <v>277</v>
      </c>
      <c r="DI55" s="30" t="s">
        <v>277</v>
      </c>
      <c r="DJ55" s="30" t="s">
        <v>277</v>
      </c>
      <c r="DK55" s="33">
        <v>23.75</v>
      </c>
      <c r="DL55" s="33">
        <v>22</v>
      </c>
      <c r="DM55" s="33">
        <v>25</v>
      </c>
      <c r="DN55" s="33">
        <v>25</v>
      </c>
      <c r="DO55" s="33">
        <v>16.666666666666668</v>
      </c>
      <c r="DP55" s="33">
        <v>20</v>
      </c>
      <c r="DQ55" s="30">
        <v>4</v>
      </c>
      <c r="DR55" s="33">
        <v>0</v>
      </c>
      <c r="DS55" s="30">
        <v>25</v>
      </c>
      <c r="DT55" s="30">
        <v>100</v>
      </c>
      <c r="DU55" s="30">
        <v>15</v>
      </c>
      <c r="DV55" s="30">
        <v>30</v>
      </c>
      <c r="DW55" s="30">
        <v>5</v>
      </c>
      <c r="DX55" s="30">
        <v>25</v>
      </c>
      <c r="DY55" s="30">
        <v>20</v>
      </c>
      <c r="DZ55" s="30">
        <v>20</v>
      </c>
      <c r="EA55" s="33">
        <v>16.25</v>
      </c>
      <c r="EB55" s="30">
        <v>45</v>
      </c>
      <c r="EC55" s="30">
        <v>45</v>
      </c>
      <c r="ED55" s="30">
        <v>35</v>
      </c>
      <c r="EE55" s="30">
        <v>30</v>
      </c>
      <c r="EF55" s="30">
        <v>25</v>
      </c>
      <c r="EG55" s="30">
        <v>25</v>
      </c>
      <c r="EH55" s="30">
        <v>40</v>
      </c>
      <c r="EI55" s="30">
        <v>50</v>
      </c>
      <c r="EJ55" s="30" t="s">
        <v>277</v>
      </c>
      <c r="EK55" s="30" t="s">
        <v>277</v>
      </c>
      <c r="EL55" s="30" t="s">
        <v>277</v>
      </c>
      <c r="EM55" s="30" t="s">
        <v>277</v>
      </c>
      <c r="EN55" s="30" t="s">
        <v>277</v>
      </c>
      <c r="EO55" s="30" t="s">
        <v>277</v>
      </c>
      <c r="EP55" s="30" t="s">
        <v>277</v>
      </c>
      <c r="EQ55" s="33">
        <v>30</v>
      </c>
      <c r="ER55" s="33">
        <v>36</v>
      </c>
      <c r="ES55" s="33">
        <v>41.666666666666664</v>
      </c>
      <c r="ET55" s="33">
        <v>27.5</v>
      </c>
      <c r="EU55" s="33">
        <v>38.333333333333336</v>
      </c>
      <c r="EV55" s="33">
        <v>28.75</v>
      </c>
      <c r="EW55" s="30" t="s">
        <v>235</v>
      </c>
      <c r="EX55" s="33">
        <v>1</v>
      </c>
      <c r="EY55" s="30">
        <v>35</v>
      </c>
      <c r="EZ55" s="30">
        <v>100</v>
      </c>
      <c r="FA55" s="30"/>
      <c r="FB55" s="30"/>
      <c r="FC55" s="48" t="s">
        <v>480</v>
      </c>
      <c r="FD55" s="32">
        <v>45079</v>
      </c>
      <c r="FE55" s="30">
        <v>185</v>
      </c>
      <c r="FF55" s="30"/>
      <c r="FG55" s="30">
        <v>15</v>
      </c>
      <c r="FH55" s="30">
        <v>20</v>
      </c>
      <c r="FI55" s="30">
        <v>10</v>
      </c>
      <c r="FJ55" s="30">
        <v>20</v>
      </c>
      <c r="FK55" s="30">
        <v>10</v>
      </c>
      <c r="FL55" s="30">
        <v>15</v>
      </c>
      <c r="FM55" s="33">
        <v>15</v>
      </c>
      <c r="FN55" s="30">
        <v>20</v>
      </c>
      <c r="FO55" s="30">
        <v>20</v>
      </c>
      <c r="FP55" s="30">
        <v>20</v>
      </c>
      <c r="FQ55" s="30">
        <v>20</v>
      </c>
      <c r="FR55" s="30">
        <v>20</v>
      </c>
      <c r="FS55" s="30">
        <v>10</v>
      </c>
      <c r="FT55" s="30">
        <v>20</v>
      </c>
      <c r="FU55" s="30">
        <v>35</v>
      </c>
      <c r="FV55" s="30" t="s">
        <v>234</v>
      </c>
      <c r="FW55" s="30" t="s">
        <v>234</v>
      </c>
      <c r="FX55" s="30" t="s">
        <v>234</v>
      </c>
      <c r="FY55" s="30" t="s">
        <v>234</v>
      </c>
      <c r="FZ55" s="30" t="s">
        <v>234</v>
      </c>
      <c r="GA55" s="30" t="s">
        <v>234</v>
      </c>
      <c r="GB55" s="30" t="s">
        <v>234</v>
      </c>
      <c r="GC55" s="33">
        <v>20</v>
      </c>
      <c r="GD55" s="33">
        <v>23</v>
      </c>
      <c r="GE55" s="33">
        <v>20</v>
      </c>
      <c r="GF55" s="33">
        <v>20</v>
      </c>
      <c r="GG55" s="33">
        <v>21.666666666666668</v>
      </c>
      <c r="GH55" s="33">
        <v>17.5</v>
      </c>
      <c r="GI55" s="30">
        <v>4</v>
      </c>
      <c r="GJ55" s="33">
        <v>0</v>
      </c>
      <c r="GK55" s="30">
        <v>25</v>
      </c>
      <c r="GL55" s="30">
        <v>100</v>
      </c>
      <c r="GM55" s="30">
        <v>15</v>
      </c>
      <c r="GN55" s="30">
        <v>30</v>
      </c>
      <c r="GO55" s="30">
        <v>0</v>
      </c>
      <c r="GP55" s="30">
        <v>30</v>
      </c>
      <c r="GQ55" s="30">
        <v>25</v>
      </c>
      <c r="GR55" s="30">
        <v>30</v>
      </c>
      <c r="GS55" s="30">
        <v>15</v>
      </c>
      <c r="GT55" s="30">
        <v>30</v>
      </c>
      <c r="GU55" s="30">
        <v>30</v>
      </c>
      <c r="GV55" s="30">
        <v>30</v>
      </c>
      <c r="GW55" s="30">
        <v>20</v>
      </c>
      <c r="GX55" s="30">
        <v>30</v>
      </c>
      <c r="GY55" s="30">
        <v>25</v>
      </c>
      <c r="GZ55" s="30">
        <v>40</v>
      </c>
      <c r="HA55" s="30">
        <v>60</v>
      </c>
      <c r="HB55" s="30" t="s">
        <v>277</v>
      </c>
      <c r="HC55" s="30" t="s">
        <v>277</v>
      </c>
      <c r="HD55" s="30" t="s">
        <v>277</v>
      </c>
      <c r="HE55" s="30" t="s">
        <v>277</v>
      </c>
      <c r="HF55" s="30" t="s">
        <v>277</v>
      </c>
      <c r="HG55" s="30" t="s">
        <v>277</v>
      </c>
      <c r="HH55" s="30" t="s">
        <v>277</v>
      </c>
      <c r="HI55" s="30">
        <v>25</v>
      </c>
      <c r="HJ55" s="30">
        <v>36</v>
      </c>
      <c r="HK55" s="30">
        <v>30</v>
      </c>
      <c r="HL55" s="30">
        <v>25</v>
      </c>
      <c r="HM55" s="30">
        <v>41.666666666666664</v>
      </c>
      <c r="HN55" s="30">
        <v>26.25</v>
      </c>
      <c r="HO55" s="30" t="s">
        <v>235</v>
      </c>
      <c r="HP55" s="30">
        <v>1</v>
      </c>
      <c r="HQ55" s="30">
        <v>30</v>
      </c>
      <c r="HR55" s="30">
        <v>100</v>
      </c>
      <c r="HS55" s="30" t="s">
        <v>481</v>
      </c>
      <c r="HT55" s="30" t="s">
        <v>482</v>
      </c>
      <c r="HU55" s="48"/>
      <c r="HV55" s="32">
        <v>45306</v>
      </c>
      <c r="HW55" s="30">
        <v>412</v>
      </c>
      <c r="HX55" s="30"/>
      <c r="HY55" s="30">
        <v>15</v>
      </c>
      <c r="HZ55" s="30">
        <v>25</v>
      </c>
      <c r="IA55" s="30">
        <v>10</v>
      </c>
      <c r="IB55" s="30">
        <v>20</v>
      </c>
      <c r="IC55" s="30">
        <v>15</v>
      </c>
      <c r="ID55" s="30">
        <v>20</v>
      </c>
      <c r="IE55" s="30">
        <v>16.25</v>
      </c>
      <c r="IF55" s="30">
        <v>25</v>
      </c>
      <c r="IG55" s="30">
        <v>25</v>
      </c>
      <c r="IH55" s="30">
        <v>25</v>
      </c>
      <c r="II55" s="30">
        <v>25</v>
      </c>
      <c r="IJ55" s="30">
        <v>20</v>
      </c>
      <c r="IK55" s="30">
        <v>15</v>
      </c>
      <c r="IL55" s="30">
        <v>20</v>
      </c>
      <c r="IM55" s="30">
        <v>25</v>
      </c>
      <c r="IN55" s="30" t="s">
        <v>277</v>
      </c>
      <c r="IO55" s="30" t="s">
        <v>277</v>
      </c>
      <c r="IP55" s="30" t="s">
        <v>277</v>
      </c>
      <c r="IQ55" s="30" t="s">
        <v>277</v>
      </c>
      <c r="IR55" s="30" t="s">
        <v>277</v>
      </c>
      <c r="IS55" s="30" t="s">
        <v>277</v>
      </c>
      <c r="IT55" s="30" t="s">
        <v>277</v>
      </c>
      <c r="IU55" s="30">
        <v>23.75</v>
      </c>
      <c r="IV55" s="30">
        <v>23</v>
      </c>
      <c r="IW55" s="30">
        <v>25</v>
      </c>
      <c r="IX55" s="30">
        <v>22.5</v>
      </c>
      <c r="IY55" s="30">
        <v>20</v>
      </c>
      <c r="IZ55" s="30">
        <v>21.25</v>
      </c>
      <c r="JA55" s="30">
        <v>4</v>
      </c>
      <c r="JB55" s="30">
        <v>1</v>
      </c>
      <c r="JC55" s="30">
        <v>25</v>
      </c>
      <c r="JD55" s="30">
        <v>100</v>
      </c>
      <c r="JE55" s="30">
        <v>15</v>
      </c>
      <c r="JF55" s="30">
        <v>30</v>
      </c>
      <c r="JG55" s="30">
        <v>10</v>
      </c>
      <c r="JH55" s="30">
        <v>30</v>
      </c>
      <c r="JI55" s="30">
        <v>30</v>
      </c>
      <c r="JJ55" s="30">
        <v>35</v>
      </c>
      <c r="JK55" s="30">
        <v>20</v>
      </c>
      <c r="JL55" s="30">
        <v>25</v>
      </c>
      <c r="JM55" s="30">
        <v>30</v>
      </c>
      <c r="JN55" s="30">
        <v>30</v>
      </c>
      <c r="JO55" s="30">
        <v>25</v>
      </c>
      <c r="JP55" s="30">
        <v>30</v>
      </c>
      <c r="JQ55" s="30">
        <v>40</v>
      </c>
      <c r="JR55" s="30">
        <v>50</v>
      </c>
      <c r="JS55" s="30">
        <v>55</v>
      </c>
      <c r="JT55" s="30" t="s">
        <v>277</v>
      </c>
      <c r="JU55" s="30" t="s">
        <v>277</v>
      </c>
      <c r="JV55" s="30" t="s">
        <v>277</v>
      </c>
      <c r="JW55" s="30" t="s">
        <v>277</v>
      </c>
      <c r="JX55" s="30" t="s">
        <v>277</v>
      </c>
      <c r="JY55" s="30" t="s">
        <v>277</v>
      </c>
      <c r="JZ55" s="30" t="s">
        <v>277</v>
      </c>
      <c r="KA55" s="30">
        <v>27.5</v>
      </c>
      <c r="KB55" s="30">
        <v>38</v>
      </c>
      <c r="KC55" s="30">
        <v>28.333333333333332</v>
      </c>
      <c r="KD55" s="30">
        <v>27.5</v>
      </c>
      <c r="KE55" s="30">
        <v>48.333333333333336</v>
      </c>
      <c r="KF55" s="30">
        <v>31.25</v>
      </c>
      <c r="KG55" s="30">
        <v>6</v>
      </c>
      <c r="KH55" s="30">
        <v>1</v>
      </c>
      <c r="KI55" s="30">
        <v>30</v>
      </c>
      <c r="KJ55" s="30">
        <v>100</v>
      </c>
      <c r="KK55" s="30" t="s">
        <v>483</v>
      </c>
      <c r="KL55" s="30" t="s">
        <v>484</v>
      </c>
    </row>
    <row r="56" spans="1:299" s="1" customFormat="1" ht="66">
      <c r="A56" s="8" t="s">
        <v>646</v>
      </c>
      <c r="B56" s="9">
        <v>64</v>
      </c>
      <c r="C56" s="20">
        <v>60</v>
      </c>
      <c r="D56" s="9">
        <v>1</v>
      </c>
      <c r="E56" s="9" t="s">
        <v>588</v>
      </c>
      <c r="F56" s="9">
        <v>8239</v>
      </c>
      <c r="G56" s="9" t="s">
        <v>12</v>
      </c>
      <c r="H56" s="9" t="s">
        <v>13</v>
      </c>
      <c r="I56" s="9" t="s">
        <v>2</v>
      </c>
      <c r="J56" s="19">
        <v>43928</v>
      </c>
      <c r="K56" s="83"/>
      <c r="L56" s="19" t="s">
        <v>724</v>
      </c>
      <c r="M56" s="9" t="s">
        <v>142</v>
      </c>
      <c r="N56" s="11" t="s">
        <v>140</v>
      </c>
      <c r="O56" s="10"/>
      <c r="P56" s="10">
        <v>43927</v>
      </c>
      <c r="Q56" s="71">
        <v>44048</v>
      </c>
      <c r="R56" s="10">
        <v>44137</v>
      </c>
      <c r="S56" s="71">
        <v>44293</v>
      </c>
      <c r="T56" s="10">
        <v>43927</v>
      </c>
      <c r="U56" s="30">
        <v>-1</v>
      </c>
      <c r="V56" s="1" t="s">
        <v>547</v>
      </c>
      <c r="W56" s="1">
        <v>10</v>
      </c>
      <c r="X56" s="1">
        <v>15</v>
      </c>
      <c r="Y56" s="1">
        <v>20</v>
      </c>
      <c r="Z56" s="1">
        <v>25</v>
      </c>
      <c r="AA56" s="1">
        <v>25</v>
      </c>
      <c r="AB56" s="1">
        <v>25</v>
      </c>
      <c r="AC56" s="1">
        <v>20</v>
      </c>
      <c r="AD56" s="1">
        <v>5</v>
      </c>
      <c r="AE56" s="1">
        <v>10</v>
      </c>
      <c r="AF56" s="1">
        <v>15</v>
      </c>
      <c r="AG56" s="1">
        <v>20</v>
      </c>
      <c r="AH56" s="1">
        <v>25</v>
      </c>
      <c r="AI56" s="1">
        <v>25</v>
      </c>
      <c r="AJ56" s="1">
        <v>30</v>
      </c>
      <c r="AK56" s="1">
        <v>50</v>
      </c>
      <c r="AS56" s="33">
        <v>20</v>
      </c>
      <c r="AT56" s="33">
        <v>28</v>
      </c>
      <c r="AU56" s="33">
        <v>10</v>
      </c>
      <c r="AV56" s="33">
        <v>22.5</v>
      </c>
      <c r="AW56" s="33">
        <v>35</v>
      </c>
      <c r="AX56" s="33">
        <v>21.25</v>
      </c>
      <c r="AY56" s="1">
        <v>3</v>
      </c>
      <c r="AZ56" s="33">
        <v>1</v>
      </c>
      <c r="BA56" s="1">
        <v>20</v>
      </c>
      <c r="BB56" s="1">
        <v>100</v>
      </c>
      <c r="BC56" s="1">
        <v>25</v>
      </c>
      <c r="BD56" s="1">
        <v>35</v>
      </c>
      <c r="BE56" s="1">
        <v>40</v>
      </c>
      <c r="BF56" s="1">
        <v>55</v>
      </c>
      <c r="BG56" s="1">
        <v>55</v>
      </c>
      <c r="BH56" s="1">
        <v>50</v>
      </c>
      <c r="BI56" s="33">
        <v>42.5</v>
      </c>
      <c r="BJ56" s="1">
        <v>20</v>
      </c>
      <c r="BK56" s="1">
        <v>25</v>
      </c>
      <c r="BL56" s="1">
        <v>35</v>
      </c>
      <c r="BM56" s="1">
        <v>40</v>
      </c>
      <c r="BN56" s="1">
        <v>55</v>
      </c>
      <c r="BO56" s="1">
        <v>55</v>
      </c>
      <c r="BP56" s="1">
        <v>50</v>
      </c>
      <c r="BQ56" s="1">
        <v>60</v>
      </c>
      <c r="BY56" s="33">
        <v>42.5</v>
      </c>
      <c r="BZ56" s="33">
        <v>48</v>
      </c>
      <c r="CA56" s="33">
        <v>26.666666666666668</v>
      </c>
      <c r="CB56" s="33">
        <v>47.5</v>
      </c>
      <c r="CC56" s="33">
        <v>55</v>
      </c>
      <c r="CD56" s="33">
        <v>46.25</v>
      </c>
      <c r="CE56" s="1">
        <v>3</v>
      </c>
      <c r="CF56" s="33">
        <v>2</v>
      </c>
      <c r="CG56" s="1">
        <v>40</v>
      </c>
      <c r="CH56" s="1">
        <v>80</v>
      </c>
      <c r="CM56" s="30">
        <v>-43928</v>
      </c>
      <c r="CU56" s="33">
        <v>0</v>
      </c>
      <c r="DK56" s="33">
        <v>0</v>
      </c>
      <c r="DL56" s="33" t="e">
        <v>#DIV/0!</v>
      </c>
      <c r="DM56" s="33" t="e">
        <v>#DIV/0!</v>
      </c>
      <c r="DN56" s="33" t="e">
        <v>#DIV/0!</v>
      </c>
      <c r="DO56" s="33" t="e">
        <v>#DIV/0!</v>
      </c>
      <c r="DP56" s="33" t="e">
        <v>#DIV/0!</v>
      </c>
      <c r="DR56" s="33" t="e">
        <v>#DIV/0!</v>
      </c>
      <c r="EA56" s="33">
        <v>0</v>
      </c>
      <c r="EQ56" s="33">
        <v>0</v>
      </c>
      <c r="ER56" s="33" t="e">
        <v>#DIV/0!</v>
      </c>
      <c r="ES56" s="33" t="e">
        <v>#DIV/0!</v>
      </c>
      <c r="ET56" s="33" t="e">
        <v>#DIV/0!</v>
      </c>
      <c r="EU56" s="33" t="e">
        <v>#DIV/0!</v>
      </c>
      <c r="EV56" s="33" t="e">
        <v>#DIV/0!</v>
      </c>
      <c r="EX56" s="33" t="e">
        <v>#DIV/0!</v>
      </c>
      <c r="FD56" s="10">
        <v>44146</v>
      </c>
      <c r="FE56" s="30">
        <v>218</v>
      </c>
      <c r="FG56" s="1">
        <v>10</v>
      </c>
      <c r="FH56" s="1">
        <v>15</v>
      </c>
      <c r="FI56" s="1">
        <v>15</v>
      </c>
      <c r="FJ56" s="1">
        <v>30</v>
      </c>
      <c r="FK56" s="1">
        <v>25</v>
      </c>
      <c r="FL56" s="1">
        <v>25</v>
      </c>
      <c r="FM56" s="33">
        <v>18.75</v>
      </c>
      <c r="FN56" s="1">
        <v>15</v>
      </c>
      <c r="FO56" s="1">
        <v>20</v>
      </c>
      <c r="FP56" s="1">
        <v>15</v>
      </c>
      <c r="FQ56" s="1">
        <v>15</v>
      </c>
      <c r="FR56" s="1">
        <v>30</v>
      </c>
      <c r="FS56" s="1">
        <v>25</v>
      </c>
      <c r="FT56" s="1">
        <v>25</v>
      </c>
      <c r="FU56" s="1">
        <v>70</v>
      </c>
      <c r="GC56" s="33">
        <v>18.75</v>
      </c>
      <c r="GD56" s="33">
        <v>31</v>
      </c>
      <c r="GE56" s="33">
        <v>16.666666666666668</v>
      </c>
      <c r="GF56" s="33">
        <v>22.5</v>
      </c>
      <c r="GG56" s="33">
        <v>40</v>
      </c>
      <c r="GH56" s="33">
        <v>21.25</v>
      </c>
      <c r="GI56" s="1">
        <v>3</v>
      </c>
      <c r="GJ56" s="33">
        <v>1</v>
      </c>
      <c r="GK56" s="1">
        <v>20</v>
      </c>
      <c r="GL56" s="1">
        <v>100</v>
      </c>
      <c r="GM56" s="1">
        <v>55</v>
      </c>
      <c r="GN56" s="1">
        <v>70</v>
      </c>
      <c r="GO56" s="1">
        <v>75</v>
      </c>
      <c r="GP56" s="1" t="s">
        <v>543</v>
      </c>
      <c r="GQ56" s="1" t="s">
        <v>544</v>
      </c>
      <c r="GR56" s="1" t="s">
        <v>544</v>
      </c>
      <c r="GS56" s="30" t="e">
        <v>#VALUE!</v>
      </c>
      <c r="GT56" s="1" t="s">
        <v>543</v>
      </c>
      <c r="GU56" s="1" t="s">
        <v>545</v>
      </c>
      <c r="GV56" s="1" t="s">
        <v>546</v>
      </c>
      <c r="GW56" s="1" t="s">
        <v>546</v>
      </c>
      <c r="GX56" s="1">
        <v>120</v>
      </c>
      <c r="GY56" s="1" t="s">
        <v>546</v>
      </c>
      <c r="GZ56" s="1" t="s">
        <v>546</v>
      </c>
      <c r="HA56" s="1" t="s">
        <v>545</v>
      </c>
      <c r="HI56" s="30" t="e">
        <v>#VALUE!</v>
      </c>
      <c r="HJ56" s="30">
        <v>120</v>
      </c>
      <c r="HK56" s="30" t="e">
        <v>#DIV/0!</v>
      </c>
      <c r="HL56" s="30">
        <v>120</v>
      </c>
      <c r="HM56" s="30" t="e">
        <v>#DIV/0!</v>
      </c>
      <c r="HN56" s="30">
        <v>120</v>
      </c>
      <c r="HO56" s="1">
        <v>6</v>
      </c>
      <c r="HP56" s="30">
        <v>5</v>
      </c>
      <c r="HQ56" s="1">
        <v>100</v>
      </c>
      <c r="HR56" s="1">
        <v>0</v>
      </c>
      <c r="HW56" s="30">
        <v>-43928</v>
      </c>
      <c r="IE56" s="30">
        <v>0</v>
      </c>
      <c r="IU56" s="30">
        <v>0</v>
      </c>
      <c r="IV56" s="30" t="e">
        <v>#DIV/0!</v>
      </c>
      <c r="IW56" s="30" t="e">
        <v>#DIV/0!</v>
      </c>
      <c r="IX56" s="30" t="e">
        <v>#DIV/0!</v>
      </c>
      <c r="IY56" s="30" t="e">
        <v>#DIV/0!</v>
      </c>
      <c r="IZ56" s="30" t="e">
        <v>#DIV/0!</v>
      </c>
      <c r="JB56" s="30" t="e">
        <v>#DIV/0!</v>
      </c>
      <c r="JK56" s="30">
        <v>0</v>
      </c>
      <c r="KA56" s="30">
        <v>0</v>
      </c>
      <c r="KB56" s="30" t="e">
        <v>#DIV/0!</v>
      </c>
      <c r="KC56" s="30" t="e">
        <v>#DIV/0!</v>
      </c>
      <c r="KD56" s="30" t="e">
        <v>#DIV/0!</v>
      </c>
      <c r="KE56" s="30" t="e">
        <v>#DIV/0!</v>
      </c>
      <c r="KF56" s="30" t="e">
        <v>#DIV/0!</v>
      </c>
      <c r="KH56" s="30" t="e">
        <v>#DIV/0!</v>
      </c>
    </row>
    <row r="57" spans="1:299" s="1" customFormat="1" ht="165">
      <c r="A57" s="8" t="s">
        <v>647</v>
      </c>
      <c r="B57" s="1">
        <v>53</v>
      </c>
      <c r="C57" s="20">
        <v>50</v>
      </c>
      <c r="D57" s="1">
        <v>2</v>
      </c>
      <c r="E57" s="1" t="s">
        <v>590</v>
      </c>
      <c r="F57" s="1">
        <v>21093</v>
      </c>
      <c r="G57" s="13" t="s">
        <v>69</v>
      </c>
      <c r="H57" s="12" t="s">
        <v>70</v>
      </c>
      <c r="I57" s="12" t="s">
        <v>22</v>
      </c>
      <c r="J57" s="13">
        <v>44845</v>
      </c>
      <c r="K57" s="30" t="s">
        <v>668</v>
      </c>
      <c r="L57" s="30" t="s">
        <v>662</v>
      </c>
      <c r="M57" s="14" t="s">
        <v>195</v>
      </c>
      <c r="N57" s="16" t="s">
        <v>194</v>
      </c>
      <c r="T57" s="59">
        <v>44804</v>
      </c>
      <c r="U57" s="30">
        <v>-41</v>
      </c>
      <c r="V57" s="30" t="s">
        <v>554</v>
      </c>
      <c r="W57" s="30">
        <v>10</v>
      </c>
      <c r="X57" s="30">
        <v>25</v>
      </c>
      <c r="Y57" s="30">
        <v>10</v>
      </c>
      <c r="Z57" s="30">
        <v>25</v>
      </c>
      <c r="AA57" s="30">
        <v>25</v>
      </c>
      <c r="AB57" s="30">
        <v>25</v>
      </c>
      <c r="AC57" s="33">
        <v>17.5</v>
      </c>
      <c r="AD57" s="30">
        <v>45</v>
      </c>
      <c r="AE57" s="30">
        <v>45</v>
      </c>
      <c r="AF57" s="30">
        <v>50</v>
      </c>
      <c r="AG57" s="30">
        <v>55</v>
      </c>
      <c r="AH57" s="30">
        <v>35</v>
      </c>
      <c r="AI57" s="30">
        <v>30</v>
      </c>
      <c r="AJ57" s="30">
        <v>35</v>
      </c>
      <c r="AK57" s="30">
        <v>50</v>
      </c>
      <c r="AL57" s="31" t="s">
        <v>234</v>
      </c>
      <c r="AM57" s="31" t="s">
        <v>234</v>
      </c>
      <c r="AN57" s="31" t="s">
        <v>234</v>
      </c>
      <c r="AO57" s="31" t="s">
        <v>234</v>
      </c>
      <c r="AP57" s="31" t="s">
        <v>234</v>
      </c>
      <c r="AQ57" s="31" t="s">
        <v>234</v>
      </c>
      <c r="AR57" s="31" t="s">
        <v>234</v>
      </c>
      <c r="AS57" s="33">
        <v>48.75</v>
      </c>
      <c r="AT57" s="33">
        <v>45</v>
      </c>
      <c r="AU57" s="33">
        <v>46.666666666666664</v>
      </c>
      <c r="AV57" s="33">
        <v>45</v>
      </c>
      <c r="AW57" s="33">
        <v>38.333333333333336</v>
      </c>
      <c r="AX57" s="33">
        <v>42.5</v>
      </c>
      <c r="AY57" s="34">
        <v>2</v>
      </c>
      <c r="AZ57" s="33">
        <v>2</v>
      </c>
      <c r="BA57" s="30">
        <v>50</v>
      </c>
      <c r="BB57" s="30">
        <v>100</v>
      </c>
      <c r="BC57" s="30">
        <v>5</v>
      </c>
      <c r="BD57" s="30">
        <v>25</v>
      </c>
      <c r="BE57" s="30">
        <v>10</v>
      </c>
      <c r="BF57" s="30">
        <v>30</v>
      </c>
      <c r="BG57" s="30">
        <v>30</v>
      </c>
      <c r="BH57" s="30">
        <v>25</v>
      </c>
      <c r="BI57" s="33">
        <v>18.75</v>
      </c>
      <c r="BJ57" s="30">
        <v>40</v>
      </c>
      <c r="BK57" s="30">
        <v>40</v>
      </c>
      <c r="BL57" s="30">
        <v>40</v>
      </c>
      <c r="BM57" s="30">
        <v>40</v>
      </c>
      <c r="BN57" s="30">
        <v>30</v>
      </c>
      <c r="BO57" s="30">
        <v>30</v>
      </c>
      <c r="BP57" s="30">
        <v>25</v>
      </c>
      <c r="BQ57" s="30">
        <v>40</v>
      </c>
      <c r="BR57" s="31" t="s">
        <v>234</v>
      </c>
      <c r="BS57" s="31" t="s">
        <v>234</v>
      </c>
      <c r="BT57" s="31" t="s">
        <v>234</v>
      </c>
      <c r="BU57" s="31" t="s">
        <v>234</v>
      </c>
      <c r="BV57" s="31" t="s">
        <v>234</v>
      </c>
      <c r="BW57" s="31" t="s">
        <v>234</v>
      </c>
      <c r="BX57" s="31" t="s">
        <v>234</v>
      </c>
      <c r="BY57" s="33">
        <v>37.5</v>
      </c>
      <c r="BZ57" s="33">
        <v>35</v>
      </c>
      <c r="CA57" s="33">
        <v>40</v>
      </c>
      <c r="CB57" s="33">
        <v>35</v>
      </c>
      <c r="CC57" s="33">
        <v>31.666666666666668</v>
      </c>
      <c r="CD57" s="33">
        <v>35</v>
      </c>
      <c r="CE57" s="30">
        <v>1</v>
      </c>
      <c r="CF57" s="33">
        <v>1</v>
      </c>
      <c r="CG57" s="30">
        <v>45</v>
      </c>
      <c r="CH57" s="30">
        <v>100</v>
      </c>
      <c r="CI57" s="30" t="s">
        <v>485</v>
      </c>
      <c r="CJ57" s="31" t="s">
        <v>486</v>
      </c>
      <c r="CK57" s="56"/>
      <c r="CL57" s="32">
        <v>44937</v>
      </c>
      <c r="CM57" s="30">
        <v>92</v>
      </c>
      <c r="CN57" s="30"/>
      <c r="CO57" s="30">
        <v>0</v>
      </c>
      <c r="CP57" s="30">
        <v>15</v>
      </c>
      <c r="CQ57" s="30">
        <v>10</v>
      </c>
      <c r="CR57" s="30">
        <v>20</v>
      </c>
      <c r="CS57" s="30">
        <v>20</v>
      </c>
      <c r="CT57" s="30">
        <v>25</v>
      </c>
      <c r="CU57" s="33">
        <v>13.75</v>
      </c>
      <c r="CV57" s="30">
        <v>55</v>
      </c>
      <c r="CW57" s="30">
        <v>55</v>
      </c>
      <c r="CX57" s="30">
        <v>55</v>
      </c>
      <c r="CY57" s="30">
        <v>60</v>
      </c>
      <c r="CZ57" s="30">
        <v>40</v>
      </c>
      <c r="DA57" s="30">
        <v>45</v>
      </c>
      <c r="DB57" s="30">
        <v>55</v>
      </c>
      <c r="DC57" s="30">
        <v>60</v>
      </c>
      <c r="DD57" s="42">
        <v>65</v>
      </c>
      <c r="DE57" s="30">
        <v>70</v>
      </c>
      <c r="DF57" s="42">
        <v>75</v>
      </c>
      <c r="DG57" s="42">
        <v>65</v>
      </c>
      <c r="DH57" s="42">
        <v>50</v>
      </c>
      <c r="DI57" s="42">
        <v>20</v>
      </c>
      <c r="DJ57" s="62">
        <v>0</v>
      </c>
      <c r="DK57" s="33">
        <v>53.75</v>
      </c>
      <c r="DL57" s="33">
        <v>54</v>
      </c>
      <c r="DM57" s="33">
        <v>55</v>
      </c>
      <c r="DN57" s="33">
        <v>50</v>
      </c>
      <c r="DO57" s="33">
        <v>53.333333333333336</v>
      </c>
      <c r="DP57" s="33">
        <v>50</v>
      </c>
      <c r="DQ57" s="30">
        <v>3</v>
      </c>
      <c r="DR57" s="33">
        <v>2</v>
      </c>
      <c r="DS57" s="30">
        <v>55</v>
      </c>
      <c r="DT57" s="30">
        <v>100</v>
      </c>
      <c r="DU57" s="30">
        <v>0</v>
      </c>
      <c r="DV57" s="30">
        <v>30</v>
      </c>
      <c r="DW57" s="30">
        <v>15</v>
      </c>
      <c r="DX57" s="30">
        <v>15</v>
      </c>
      <c r="DY57" s="30">
        <v>15</v>
      </c>
      <c r="DZ57" s="30">
        <v>15</v>
      </c>
      <c r="EA57" s="33">
        <v>18.75</v>
      </c>
      <c r="EB57" s="30">
        <v>40</v>
      </c>
      <c r="EC57" s="30">
        <v>40</v>
      </c>
      <c r="ED57" s="30">
        <v>45</v>
      </c>
      <c r="EE57" s="30">
        <v>50</v>
      </c>
      <c r="EF57" s="30">
        <v>40</v>
      </c>
      <c r="EG57" s="30">
        <v>40</v>
      </c>
      <c r="EH57" s="30">
        <v>25</v>
      </c>
      <c r="EI57" s="30">
        <v>55</v>
      </c>
      <c r="EJ57" s="30">
        <v>55</v>
      </c>
      <c r="EK57" s="30">
        <v>35</v>
      </c>
      <c r="EL57" s="30">
        <v>65</v>
      </c>
      <c r="EM57" s="42">
        <v>65</v>
      </c>
      <c r="EN57" s="42">
        <v>45</v>
      </c>
      <c r="EO57" s="42">
        <v>15</v>
      </c>
      <c r="EP57" s="62">
        <v>0</v>
      </c>
      <c r="EQ57" s="33">
        <v>46.25</v>
      </c>
      <c r="ER57" s="33">
        <v>43</v>
      </c>
      <c r="ES57" s="33">
        <v>41.666666666666664</v>
      </c>
      <c r="ET57" s="33">
        <v>45</v>
      </c>
      <c r="EU57" s="33">
        <v>40</v>
      </c>
      <c r="EV57" s="33">
        <v>43.75</v>
      </c>
      <c r="EW57" s="30">
        <v>3</v>
      </c>
      <c r="EX57" s="33">
        <v>2</v>
      </c>
      <c r="EY57" s="30">
        <v>50</v>
      </c>
      <c r="EZ57" s="30">
        <v>100</v>
      </c>
      <c r="FA57" s="30" t="s">
        <v>487</v>
      </c>
      <c r="FB57" s="30" t="s">
        <v>488</v>
      </c>
      <c r="FC57" s="56"/>
      <c r="FD57" s="32">
        <v>45028</v>
      </c>
      <c r="FE57" s="30">
        <v>183</v>
      </c>
      <c r="FF57" s="30"/>
      <c r="FG57" s="30">
        <v>0</v>
      </c>
      <c r="FH57" s="30">
        <v>5</v>
      </c>
      <c r="FI57" s="30">
        <v>10</v>
      </c>
      <c r="FJ57" s="30">
        <v>15</v>
      </c>
      <c r="FK57" s="30">
        <v>15</v>
      </c>
      <c r="FL57" s="30">
        <v>25</v>
      </c>
      <c r="FM57" s="33">
        <v>10</v>
      </c>
      <c r="FN57" s="30">
        <v>70</v>
      </c>
      <c r="FO57" s="30">
        <v>50</v>
      </c>
      <c r="FP57" s="30">
        <v>45</v>
      </c>
      <c r="FQ57" s="30">
        <v>50</v>
      </c>
      <c r="FR57" s="30">
        <v>45</v>
      </c>
      <c r="FS57" s="30">
        <v>45</v>
      </c>
      <c r="FT57" s="30">
        <v>60</v>
      </c>
      <c r="FU57" s="30">
        <v>70</v>
      </c>
      <c r="FV57" s="30" t="s">
        <v>234</v>
      </c>
      <c r="FW57" s="30" t="s">
        <v>234</v>
      </c>
      <c r="FX57" s="30" t="s">
        <v>234</v>
      </c>
      <c r="FY57" s="30" t="s">
        <v>234</v>
      </c>
      <c r="FZ57" s="30" t="s">
        <v>234</v>
      </c>
      <c r="GA57" s="30" t="s">
        <v>234</v>
      </c>
      <c r="GB57" s="30" t="s">
        <v>234</v>
      </c>
      <c r="GC57" s="33">
        <v>47.5</v>
      </c>
      <c r="GD57" s="33">
        <v>54</v>
      </c>
      <c r="GE57" s="33">
        <v>55</v>
      </c>
      <c r="GF57" s="33">
        <v>47.5</v>
      </c>
      <c r="GG57" s="33">
        <v>58.333333333333336</v>
      </c>
      <c r="GH57" s="33">
        <v>46.25</v>
      </c>
      <c r="GI57" s="30" t="s">
        <v>235</v>
      </c>
      <c r="GJ57" s="33">
        <v>2</v>
      </c>
      <c r="GK57" s="30">
        <v>55</v>
      </c>
      <c r="GL57" s="30">
        <v>92</v>
      </c>
      <c r="GM57" s="30">
        <v>0</v>
      </c>
      <c r="GN57" s="30">
        <v>5</v>
      </c>
      <c r="GO57" s="30">
        <v>0</v>
      </c>
      <c r="GP57" s="30">
        <v>5</v>
      </c>
      <c r="GQ57" s="30">
        <v>10</v>
      </c>
      <c r="GR57" s="30">
        <v>5</v>
      </c>
      <c r="GS57" s="30">
        <v>2.5</v>
      </c>
      <c r="GT57" s="30">
        <v>45</v>
      </c>
      <c r="GU57" s="30">
        <v>40</v>
      </c>
      <c r="GV57" s="30">
        <v>40</v>
      </c>
      <c r="GW57" s="30">
        <v>35</v>
      </c>
      <c r="GX57" s="30">
        <v>35</v>
      </c>
      <c r="GY57" s="30">
        <v>30</v>
      </c>
      <c r="GZ57" s="30">
        <v>30</v>
      </c>
      <c r="HA57" s="30">
        <v>50</v>
      </c>
      <c r="HB57" s="30" t="s">
        <v>277</v>
      </c>
      <c r="HC57" s="30" t="s">
        <v>277</v>
      </c>
      <c r="HD57" s="30" t="s">
        <v>277</v>
      </c>
      <c r="HE57" s="30" t="s">
        <v>277</v>
      </c>
      <c r="HF57" s="30" t="s">
        <v>277</v>
      </c>
      <c r="HG57" s="30" t="s">
        <v>277</v>
      </c>
      <c r="HH57" s="30" t="s">
        <v>277</v>
      </c>
      <c r="HI57" s="30">
        <v>36.25</v>
      </c>
      <c r="HJ57" s="30">
        <v>38</v>
      </c>
      <c r="HK57" s="30">
        <v>41.666666666666664</v>
      </c>
      <c r="HL57" s="30">
        <v>35</v>
      </c>
      <c r="HM57" s="30">
        <v>36.666666666666664</v>
      </c>
      <c r="HN57" s="30">
        <v>35</v>
      </c>
      <c r="HO57" s="30" t="s">
        <v>235</v>
      </c>
      <c r="HP57" s="30">
        <v>1</v>
      </c>
      <c r="HQ57" s="30">
        <v>40</v>
      </c>
      <c r="HR57" s="30">
        <v>100</v>
      </c>
      <c r="HS57" s="30"/>
      <c r="HT57" s="30"/>
      <c r="HU57" s="56" t="s">
        <v>489</v>
      </c>
      <c r="HV57" s="50"/>
      <c r="HW57" s="30">
        <v>-44845</v>
      </c>
      <c r="HX57" s="30"/>
      <c r="HY57" s="30"/>
      <c r="HZ57" s="30"/>
      <c r="IA57" s="30"/>
      <c r="IB57" s="30"/>
      <c r="IC57" s="30"/>
      <c r="ID57" s="30"/>
      <c r="IE57" s="30">
        <v>0</v>
      </c>
      <c r="IF57" s="30"/>
      <c r="IG57" s="30"/>
      <c r="IH57" s="30"/>
      <c r="II57" s="30"/>
      <c r="IJ57" s="30"/>
      <c r="IK57" s="30"/>
      <c r="IL57" s="30"/>
      <c r="IM57" s="30"/>
      <c r="IN57" s="30" t="s">
        <v>277</v>
      </c>
      <c r="IO57" s="30" t="s">
        <v>277</v>
      </c>
      <c r="IP57" s="30" t="s">
        <v>277</v>
      </c>
      <c r="IQ57" s="30" t="s">
        <v>277</v>
      </c>
      <c r="IR57" s="30" t="s">
        <v>277</v>
      </c>
      <c r="IS57" s="30" t="s">
        <v>277</v>
      </c>
      <c r="IT57" s="30" t="s">
        <v>277</v>
      </c>
      <c r="IU57" s="30">
        <v>0</v>
      </c>
      <c r="IV57" s="30" t="e">
        <v>#DIV/0!</v>
      </c>
      <c r="IW57" s="30" t="e">
        <v>#DIV/0!</v>
      </c>
      <c r="IX57" s="30" t="e">
        <v>#DIV/0!</v>
      </c>
      <c r="IY57" s="30" t="e">
        <v>#DIV/0!</v>
      </c>
      <c r="IZ57" s="30" t="e">
        <v>#DIV/0!</v>
      </c>
      <c r="JA57" s="30" t="e">
        <v>#DIV/0!</v>
      </c>
      <c r="JB57" s="30" t="e">
        <v>#DIV/0!</v>
      </c>
      <c r="JC57" s="30"/>
      <c r="JD57" s="30"/>
      <c r="JE57" s="30"/>
      <c r="JF57" s="30"/>
      <c r="JG57" s="30"/>
      <c r="JH57" s="30"/>
      <c r="JI57" s="30"/>
      <c r="JJ57" s="30"/>
      <c r="JK57" s="30">
        <v>0</v>
      </c>
      <c r="JL57" s="30"/>
      <c r="JM57" s="30"/>
      <c r="JN57" s="30"/>
      <c r="JO57" s="30"/>
      <c r="JP57" s="30"/>
      <c r="JQ57" s="30"/>
      <c r="JR57" s="30"/>
      <c r="JS57" s="30"/>
      <c r="JT57" s="30" t="s">
        <v>277</v>
      </c>
      <c r="JU57" s="30" t="s">
        <v>277</v>
      </c>
      <c r="JV57" s="30" t="s">
        <v>277</v>
      </c>
      <c r="JW57" s="30" t="s">
        <v>277</v>
      </c>
      <c r="JX57" s="30" t="s">
        <v>277</v>
      </c>
      <c r="JY57" s="30" t="s">
        <v>277</v>
      </c>
      <c r="JZ57" s="30" t="s">
        <v>277</v>
      </c>
      <c r="KA57" s="30">
        <v>0</v>
      </c>
      <c r="KB57" s="30" t="e">
        <v>#DIV/0!</v>
      </c>
      <c r="KC57" s="30" t="e">
        <v>#DIV/0!</v>
      </c>
      <c r="KD57" s="30" t="e">
        <v>#DIV/0!</v>
      </c>
      <c r="KE57" s="30" t="e">
        <v>#DIV/0!</v>
      </c>
      <c r="KF57" s="30" t="e">
        <v>#DIV/0!</v>
      </c>
      <c r="KG57" s="30" t="e">
        <v>#DIV/0!</v>
      </c>
      <c r="KH57" s="30" t="e">
        <v>#DIV/0!</v>
      </c>
      <c r="KI57" s="30"/>
      <c r="KJ57" s="30"/>
      <c r="KK57" s="30"/>
      <c r="KL57" s="30"/>
    </row>
    <row r="58" spans="1:299" s="1" customFormat="1" ht="99">
      <c r="A58" s="8" t="s">
        <v>648</v>
      </c>
      <c r="B58" s="1">
        <v>64</v>
      </c>
      <c r="C58" s="20">
        <v>60</v>
      </c>
      <c r="D58" s="1">
        <v>2</v>
      </c>
      <c r="E58" s="1" t="s">
        <v>590</v>
      </c>
      <c r="F58" s="1">
        <v>21092</v>
      </c>
      <c r="G58" s="12" t="s">
        <v>60</v>
      </c>
      <c r="H58" s="12" t="s">
        <v>61</v>
      </c>
      <c r="I58" s="12" t="s">
        <v>22</v>
      </c>
      <c r="J58" s="13">
        <v>44915</v>
      </c>
      <c r="K58" s="30" t="s">
        <v>668</v>
      </c>
      <c r="L58" s="30" t="s">
        <v>662</v>
      </c>
      <c r="M58" s="14" t="s">
        <v>126</v>
      </c>
      <c r="N58" s="12" t="s">
        <v>155</v>
      </c>
      <c r="T58" s="32">
        <v>44914</v>
      </c>
      <c r="U58" s="30">
        <v>-1</v>
      </c>
      <c r="V58" s="30" t="s">
        <v>573</v>
      </c>
      <c r="W58" s="30">
        <v>25</v>
      </c>
      <c r="X58" s="30">
        <v>50</v>
      </c>
      <c r="Y58" s="30">
        <v>45</v>
      </c>
      <c r="Z58" s="30">
        <v>55</v>
      </c>
      <c r="AA58" s="30">
        <v>50</v>
      </c>
      <c r="AB58" s="30">
        <v>50</v>
      </c>
      <c r="AC58" s="33">
        <v>48.75</v>
      </c>
      <c r="AD58" s="30">
        <v>50</v>
      </c>
      <c r="AE58" s="30">
        <v>50</v>
      </c>
      <c r="AF58" s="30">
        <v>75</v>
      </c>
      <c r="AG58" s="30">
        <v>80</v>
      </c>
      <c r="AH58" s="30">
        <v>65</v>
      </c>
      <c r="AI58" s="30">
        <v>75</v>
      </c>
      <c r="AJ58" s="30">
        <v>90</v>
      </c>
      <c r="AK58" s="30">
        <v>100</v>
      </c>
      <c r="AL58" s="31" t="s">
        <v>234</v>
      </c>
      <c r="AM58" s="31" t="s">
        <v>234</v>
      </c>
      <c r="AN58" s="31" t="s">
        <v>234</v>
      </c>
      <c r="AO58" s="31" t="s">
        <v>234</v>
      </c>
      <c r="AP58" s="31" t="s">
        <v>234</v>
      </c>
      <c r="AQ58" s="31" t="s">
        <v>234</v>
      </c>
      <c r="AR58" s="31" t="s">
        <v>234</v>
      </c>
      <c r="AS58" s="33">
        <v>75</v>
      </c>
      <c r="AT58" s="33">
        <v>82</v>
      </c>
      <c r="AU58" s="33">
        <v>58.333333333333336</v>
      </c>
      <c r="AV58" s="33">
        <v>72.5</v>
      </c>
      <c r="AW58" s="33">
        <v>88.333333333333329</v>
      </c>
      <c r="AX58" s="33">
        <v>73.75</v>
      </c>
      <c r="AY58" s="34">
        <v>3</v>
      </c>
      <c r="AZ58" s="33">
        <v>3</v>
      </c>
      <c r="BA58" s="30">
        <v>70</v>
      </c>
      <c r="BB58" s="30">
        <v>64</v>
      </c>
      <c r="BC58" s="30">
        <v>15</v>
      </c>
      <c r="BD58" s="30">
        <v>30</v>
      </c>
      <c r="BE58" s="30">
        <v>35</v>
      </c>
      <c r="BF58" s="30">
        <v>25</v>
      </c>
      <c r="BG58" s="30">
        <v>35</v>
      </c>
      <c r="BH58" s="30">
        <v>30</v>
      </c>
      <c r="BI58" s="33">
        <v>31.25</v>
      </c>
      <c r="BJ58" s="30">
        <v>10</v>
      </c>
      <c r="BK58" s="30">
        <v>15</v>
      </c>
      <c r="BL58" s="30">
        <v>30</v>
      </c>
      <c r="BM58" s="30">
        <v>35</v>
      </c>
      <c r="BN58" s="30">
        <v>25</v>
      </c>
      <c r="BO58" s="30">
        <v>35</v>
      </c>
      <c r="BP58" s="30">
        <v>40</v>
      </c>
      <c r="BQ58" s="30">
        <v>85</v>
      </c>
      <c r="BR58" s="31" t="s">
        <v>234</v>
      </c>
      <c r="BS58" s="31" t="s">
        <v>234</v>
      </c>
      <c r="BT58" s="31" t="s">
        <v>234</v>
      </c>
      <c r="BU58" s="31" t="s">
        <v>234</v>
      </c>
      <c r="BV58" s="31" t="s">
        <v>234</v>
      </c>
      <c r="BW58" s="31" t="s">
        <v>234</v>
      </c>
      <c r="BX58" s="31" t="s">
        <v>234</v>
      </c>
      <c r="BY58" s="33">
        <v>31.25</v>
      </c>
      <c r="BZ58" s="33">
        <v>43</v>
      </c>
      <c r="CA58" s="33">
        <v>18.333333333333332</v>
      </c>
      <c r="CB58" s="33">
        <v>30</v>
      </c>
      <c r="CC58" s="33">
        <v>53.333333333333336</v>
      </c>
      <c r="CD58" s="33">
        <v>31.25</v>
      </c>
      <c r="CE58" s="30">
        <v>3</v>
      </c>
      <c r="CF58" s="33">
        <v>1</v>
      </c>
      <c r="CG58" s="30">
        <v>35</v>
      </c>
      <c r="CH58" s="30">
        <v>60</v>
      </c>
      <c r="CI58" s="30" t="s">
        <v>490</v>
      </c>
      <c r="CJ58" s="31" t="s">
        <v>491</v>
      </c>
      <c r="CK58" s="30"/>
      <c r="CL58" s="32">
        <v>45016</v>
      </c>
      <c r="CM58" s="30">
        <v>101</v>
      </c>
      <c r="CN58" s="30"/>
      <c r="CO58" s="30">
        <v>25</v>
      </c>
      <c r="CP58" s="30">
        <v>60</v>
      </c>
      <c r="CQ58" s="30">
        <v>40</v>
      </c>
      <c r="CR58" s="30">
        <v>65</v>
      </c>
      <c r="CS58" s="30">
        <v>60</v>
      </c>
      <c r="CT58" s="30">
        <v>60</v>
      </c>
      <c r="CU58" s="33">
        <v>51.25</v>
      </c>
      <c r="CV58" s="30">
        <v>55</v>
      </c>
      <c r="CW58" s="30">
        <v>60</v>
      </c>
      <c r="CX58" s="30">
        <v>70</v>
      </c>
      <c r="CY58" s="30">
        <v>75</v>
      </c>
      <c r="CZ58" s="30">
        <v>80</v>
      </c>
      <c r="DA58" s="30">
        <v>75</v>
      </c>
      <c r="DB58" s="30">
        <v>85</v>
      </c>
      <c r="DC58" s="30">
        <v>85</v>
      </c>
      <c r="DD58" s="30" t="s">
        <v>277</v>
      </c>
      <c r="DE58" s="30" t="s">
        <v>277</v>
      </c>
      <c r="DF58" s="30" t="s">
        <v>277</v>
      </c>
      <c r="DG58" s="30" t="s">
        <v>277</v>
      </c>
      <c r="DH58" s="30" t="s">
        <v>277</v>
      </c>
      <c r="DI58" s="30" t="s">
        <v>277</v>
      </c>
      <c r="DJ58" s="30" t="s">
        <v>277</v>
      </c>
      <c r="DK58" s="33">
        <v>75</v>
      </c>
      <c r="DL58" s="33">
        <v>79</v>
      </c>
      <c r="DM58" s="33">
        <v>61.666666666666664</v>
      </c>
      <c r="DN58" s="33">
        <v>77.5</v>
      </c>
      <c r="DO58" s="33">
        <v>81.666666666666671</v>
      </c>
      <c r="DP58" s="33">
        <v>75</v>
      </c>
      <c r="DQ58" s="30">
        <v>3</v>
      </c>
      <c r="DR58" s="33">
        <v>3</v>
      </c>
      <c r="DS58" s="30">
        <v>75</v>
      </c>
      <c r="DT58" s="30">
        <v>88</v>
      </c>
      <c r="DU58" s="30">
        <v>15</v>
      </c>
      <c r="DV58" s="30">
        <v>30</v>
      </c>
      <c r="DW58" s="30">
        <v>30</v>
      </c>
      <c r="DX58" s="30">
        <v>20</v>
      </c>
      <c r="DY58" s="30">
        <v>30</v>
      </c>
      <c r="DZ58" s="30">
        <v>30</v>
      </c>
      <c r="EA58" s="33">
        <v>27.5</v>
      </c>
      <c r="EB58" s="30">
        <v>20</v>
      </c>
      <c r="EC58" s="30">
        <v>15</v>
      </c>
      <c r="ED58" s="30">
        <v>30</v>
      </c>
      <c r="EE58" s="30">
        <v>30</v>
      </c>
      <c r="EF58" s="30">
        <v>20</v>
      </c>
      <c r="EG58" s="30">
        <v>30</v>
      </c>
      <c r="EH58" s="30">
        <v>40</v>
      </c>
      <c r="EI58" s="30">
        <v>60</v>
      </c>
      <c r="EJ58" s="30" t="s">
        <v>277</v>
      </c>
      <c r="EK58" s="30" t="s">
        <v>277</v>
      </c>
      <c r="EL58" s="30" t="s">
        <v>277</v>
      </c>
      <c r="EM58" s="30" t="s">
        <v>277</v>
      </c>
      <c r="EN58" s="30" t="s">
        <v>277</v>
      </c>
      <c r="EO58" s="30" t="s">
        <v>277</v>
      </c>
      <c r="EP58" s="30" t="s">
        <v>277</v>
      </c>
      <c r="EQ58" s="33">
        <v>27.5</v>
      </c>
      <c r="ER58" s="33">
        <v>36</v>
      </c>
      <c r="ES58" s="33">
        <v>21.666666666666668</v>
      </c>
      <c r="ET58" s="33">
        <v>25</v>
      </c>
      <c r="EU58" s="33">
        <v>43.333333333333336</v>
      </c>
      <c r="EV58" s="33">
        <v>27.5</v>
      </c>
      <c r="EW58" s="30">
        <v>3</v>
      </c>
      <c r="EX58" s="33">
        <v>1</v>
      </c>
      <c r="EY58" s="30">
        <v>30</v>
      </c>
      <c r="EZ58" s="30">
        <v>100</v>
      </c>
      <c r="FA58" s="30" t="s">
        <v>492</v>
      </c>
      <c r="FB58" s="30" t="s">
        <v>493</v>
      </c>
      <c r="FC58" s="30"/>
      <c r="FD58" s="50">
        <v>45016</v>
      </c>
      <c r="FE58" s="30">
        <v>101</v>
      </c>
      <c r="FF58" s="30"/>
      <c r="FG58" s="30"/>
      <c r="FH58" s="30"/>
      <c r="FI58" s="30"/>
      <c r="FJ58" s="30"/>
      <c r="FK58" s="30"/>
      <c r="FL58" s="30"/>
      <c r="FM58" s="33">
        <v>0</v>
      </c>
      <c r="FN58" s="30"/>
      <c r="FO58" s="30"/>
      <c r="FP58" s="30"/>
      <c r="FQ58" s="30"/>
      <c r="FR58" s="30"/>
      <c r="FS58" s="30"/>
      <c r="FT58" s="30"/>
      <c r="FU58" s="30"/>
      <c r="FV58" s="30" t="s">
        <v>234</v>
      </c>
      <c r="FW58" s="30" t="s">
        <v>234</v>
      </c>
      <c r="FX58" s="30" t="s">
        <v>234</v>
      </c>
      <c r="FY58" s="30" t="s">
        <v>234</v>
      </c>
      <c r="FZ58" s="30" t="s">
        <v>234</v>
      </c>
      <c r="GA58" s="30" t="s">
        <v>234</v>
      </c>
      <c r="GB58" s="30" t="s">
        <v>234</v>
      </c>
      <c r="GC58" s="33">
        <v>0</v>
      </c>
      <c r="GD58" s="33" t="e">
        <v>#DIV/0!</v>
      </c>
      <c r="GE58" s="33" t="e">
        <v>#DIV/0!</v>
      </c>
      <c r="GF58" s="33" t="e">
        <v>#DIV/0!</v>
      </c>
      <c r="GG58" s="33" t="e">
        <v>#DIV/0!</v>
      </c>
      <c r="GH58" s="33" t="e">
        <v>#DIV/0!</v>
      </c>
      <c r="GI58" s="30" t="e">
        <v>#DIV/0!</v>
      </c>
      <c r="GJ58" s="33" t="e">
        <v>#DIV/0!</v>
      </c>
      <c r="GK58" s="30"/>
      <c r="GL58" s="30"/>
      <c r="GM58" s="30"/>
      <c r="GN58" s="30"/>
      <c r="GO58" s="30"/>
      <c r="GP58" s="30"/>
      <c r="GQ58" s="30"/>
      <c r="GR58" s="30"/>
      <c r="GS58" s="30">
        <v>0</v>
      </c>
      <c r="GT58" s="30"/>
      <c r="GU58" s="30"/>
      <c r="GV58" s="30"/>
      <c r="GW58" s="30"/>
      <c r="GX58" s="30"/>
      <c r="GY58" s="30"/>
      <c r="GZ58" s="30"/>
      <c r="HA58" s="30"/>
      <c r="HB58" s="30" t="s">
        <v>277</v>
      </c>
      <c r="HC58" s="30" t="s">
        <v>277</v>
      </c>
      <c r="HD58" s="30" t="s">
        <v>277</v>
      </c>
      <c r="HE58" s="30" t="s">
        <v>277</v>
      </c>
      <c r="HF58" s="30" t="s">
        <v>277</v>
      </c>
      <c r="HG58" s="30" t="s">
        <v>277</v>
      </c>
      <c r="HH58" s="30" t="s">
        <v>277</v>
      </c>
      <c r="HI58" s="30">
        <v>0</v>
      </c>
      <c r="HJ58" s="30" t="e">
        <v>#DIV/0!</v>
      </c>
      <c r="HK58" s="30" t="e">
        <v>#DIV/0!</v>
      </c>
      <c r="HL58" s="30" t="e">
        <v>#DIV/0!</v>
      </c>
      <c r="HM58" s="30" t="e">
        <v>#DIV/0!</v>
      </c>
      <c r="HN58" s="30" t="e">
        <v>#DIV/0!</v>
      </c>
      <c r="HO58" s="30" t="e">
        <v>#DIV/0!</v>
      </c>
      <c r="HP58" s="30" t="e">
        <v>#DIV/0!</v>
      </c>
      <c r="HQ58" s="30"/>
      <c r="HR58" s="30"/>
      <c r="HS58" s="30"/>
      <c r="HT58" s="30"/>
      <c r="HU58" s="30"/>
      <c r="HV58" s="68">
        <v>45222</v>
      </c>
      <c r="HW58" s="30">
        <v>307</v>
      </c>
      <c r="HX58" s="30"/>
      <c r="HY58" s="30">
        <v>35</v>
      </c>
      <c r="HZ58" s="30">
        <v>65</v>
      </c>
      <c r="IA58" s="30">
        <v>55</v>
      </c>
      <c r="IB58" s="30">
        <v>65</v>
      </c>
      <c r="IC58" s="30">
        <v>70</v>
      </c>
      <c r="ID58" s="30">
        <v>70</v>
      </c>
      <c r="IE58" s="30">
        <v>60</v>
      </c>
      <c r="IF58" s="30">
        <v>55</v>
      </c>
      <c r="IG58" s="30">
        <v>55</v>
      </c>
      <c r="IH58" s="30">
        <v>65</v>
      </c>
      <c r="II58" s="30">
        <v>70</v>
      </c>
      <c r="IJ58" s="30">
        <v>65</v>
      </c>
      <c r="IK58" s="30">
        <v>70</v>
      </c>
      <c r="IL58" s="30">
        <v>90</v>
      </c>
      <c r="IM58" s="30">
        <v>100</v>
      </c>
      <c r="IN58" s="30" t="s">
        <v>277</v>
      </c>
      <c r="IO58" s="30" t="s">
        <v>277</v>
      </c>
      <c r="IP58" s="30" t="s">
        <v>277</v>
      </c>
      <c r="IQ58" s="30" t="s">
        <v>277</v>
      </c>
      <c r="IR58" s="30" t="s">
        <v>277</v>
      </c>
      <c r="IS58" s="30" t="s">
        <v>277</v>
      </c>
      <c r="IT58" s="30" t="s">
        <v>277</v>
      </c>
      <c r="IU58" s="30">
        <v>67.5</v>
      </c>
      <c r="IV58" s="30">
        <v>78</v>
      </c>
      <c r="IW58" s="30">
        <v>58.333333333333336</v>
      </c>
      <c r="IX58" s="30">
        <v>67.5</v>
      </c>
      <c r="IY58" s="30">
        <v>86.666666666666671</v>
      </c>
      <c r="IZ58" s="30">
        <v>67.5</v>
      </c>
      <c r="JA58" s="30">
        <v>3</v>
      </c>
      <c r="JB58" s="30">
        <v>3</v>
      </c>
      <c r="JC58" s="30">
        <v>60</v>
      </c>
      <c r="JD58" s="30">
        <v>68</v>
      </c>
      <c r="JE58" s="30">
        <v>15</v>
      </c>
      <c r="JF58" s="30">
        <v>30</v>
      </c>
      <c r="JG58" s="30">
        <v>25</v>
      </c>
      <c r="JH58" s="30">
        <v>20</v>
      </c>
      <c r="JI58" s="30">
        <v>30</v>
      </c>
      <c r="JJ58" s="30">
        <v>30</v>
      </c>
      <c r="JK58" s="30">
        <v>25</v>
      </c>
      <c r="JL58" s="30">
        <v>30</v>
      </c>
      <c r="JM58" s="30">
        <v>25</v>
      </c>
      <c r="JN58" s="30">
        <v>30</v>
      </c>
      <c r="JO58" s="30">
        <v>35</v>
      </c>
      <c r="JP58" s="30">
        <v>20</v>
      </c>
      <c r="JQ58" s="30">
        <v>30</v>
      </c>
      <c r="JR58" s="30">
        <v>40</v>
      </c>
      <c r="JS58" s="30">
        <v>65</v>
      </c>
      <c r="JT58" s="30" t="s">
        <v>277</v>
      </c>
      <c r="JU58" s="30" t="s">
        <v>277</v>
      </c>
      <c r="JV58" s="30" t="s">
        <v>277</v>
      </c>
      <c r="JW58" s="30" t="s">
        <v>277</v>
      </c>
      <c r="JX58" s="30" t="s">
        <v>277</v>
      </c>
      <c r="JY58" s="30" t="s">
        <v>277</v>
      </c>
      <c r="JZ58" s="30" t="s">
        <v>277</v>
      </c>
      <c r="KA58" s="30">
        <v>30</v>
      </c>
      <c r="KB58" s="30">
        <v>38</v>
      </c>
      <c r="KC58" s="30">
        <v>28.333333333333332</v>
      </c>
      <c r="KD58" s="30">
        <v>27.5</v>
      </c>
      <c r="KE58" s="30">
        <v>45</v>
      </c>
      <c r="KF58" s="30">
        <v>28.75</v>
      </c>
      <c r="KG58" s="30">
        <v>3</v>
      </c>
      <c r="KH58" s="30">
        <v>1</v>
      </c>
      <c r="KI58" s="30">
        <v>30</v>
      </c>
      <c r="KJ58" s="30">
        <v>80</v>
      </c>
      <c r="KK58" s="30"/>
      <c r="KL58" s="30"/>
    </row>
    <row r="59" spans="1:299" s="1" customFormat="1" ht="99">
      <c r="A59" s="8" t="s">
        <v>649</v>
      </c>
      <c r="B59" s="1">
        <v>36</v>
      </c>
      <c r="C59" s="20">
        <v>30</v>
      </c>
      <c r="D59" s="1">
        <v>2</v>
      </c>
      <c r="E59" s="1" t="s">
        <v>589</v>
      </c>
      <c r="F59" s="1">
        <v>21091</v>
      </c>
      <c r="G59" s="12" t="s">
        <v>58</v>
      </c>
      <c r="H59" s="12" t="s">
        <v>59</v>
      </c>
      <c r="I59" s="12" t="s">
        <v>22</v>
      </c>
      <c r="J59" s="13">
        <v>44917</v>
      </c>
      <c r="K59" s="30" t="s">
        <v>661</v>
      </c>
      <c r="L59" s="30" t="s">
        <v>708</v>
      </c>
      <c r="M59" s="14" t="s">
        <v>153</v>
      </c>
      <c r="N59" s="14" t="s">
        <v>154</v>
      </c>
      <c r="T59" s="32">
        <v>44865</v>
      </c>
      <c r="U59" s="30">
        <v>-52</v>
      </c>
      <c r="V59" s="30"/>
      <c r="W59" s="30">
        <v>20</v>
      </c>
      <c r="X59" s="30">
        <v>30</v>
      </c>
      <c r="Y59" s="30">
        <v>10</v>
      </c>
      <c r="Z59" s="30">
        <v>25</v>
      </c>
      <c r="AA59" s="30">
        <v>30</v>
      </c>
      <c r="AB59" s="30">
        <v>15</v>
      </c>
      <c r="AC59" s="33">
        <v>18.75</v>
      </c>
      <c r="AD59" s="30">
        <v>50</v>
      </c>
      <c r="AE59" s="30">
        <v>55</v>
      </c>
      <c r="AF59" s="30">
        <v>55</v>
      </c>
      <c r="AG59" s="30">
        <v>45</v>
      </c>
      <c r="AH59" s="30">
        <v>50</v>
      </c>
      <c r="AI59" s="30">
        <v>60</v>
      </c>
      <c r="AJ59" s="30">
        <v>60</v>
      </c>
      <c r="AK59" s="30">
        <v>45</v>
      </c>
      <c r="AL59" s="31" t="s">
        <v>234</v>
      </c>
      <c r="AM59" s="31" t="s">
        <v>234</v>
      </c>
      <c r="AN59" s="31" t="s">
        <v>234</v>
      </c>
      <c r="AO59" s="31" t="s">
        <v>234</v>
      </c>
      <c r="AP59" s="31" t="s">
        <v>234</v>
      </c>
      <c r="AQ59" s="31" t="s">
        <v>234</v>
      </c>
      <c r="AR59" s="31" t="s">
        <v>234</v>
      </c>
      <c r="AS59" s="33">
        <v>48.75</v>
      </c>
      <c r="AT59" s="33">
        <v>51</v>
      </c>
      <c r="AU59" s="33">
        <v>53.333333333333336</v>
      </c>
      <c r="AV59" s="33">
        <v>47.5</v>
      </c>
      <c r="AW59" s="33">
        <v>55</v>
      </c>
      <c r="AX59" s="33">
        <v>52.5</v>
      </c>
      <c r="AY59" s="34">
        <v>4</v>
      </c>
      <c r="AZ59" s="33">
        <v>2</v>
      </c>
      <c r="BA59" s="30">
        <v>55</v>
      </c>
      <c r="BB59" s="30">
        <v>100</v>
      </c>
      <c r="BC59" s="30">
        <v>15</v>
      </c>
      <c r="BD59" s="30">
        <v>15</v>
      </c>
      <c r="BE59" s="30">
        <v>10</v>
      </c>
      <c r="BF59" s="30">
        <v>15</v>
      </c>
      <c r="BG59" s="30">
        <v>20</v>
      </c>
      <c r="BH59" s="30">
        <v>10</v>
      </c>
      <c r="BI59" s="33">
        <v>12.5</v>
      </c>
      <c r="BJ59" s="30">
        <v>35</v>
      </c>
      <c r="BK59" s="30">
        <v>35</v>
      </c>
      <c r="BL59" s="30">
        <v>20</v>
      </c>
      <c r="BM59" s="30">
        <v>20</v>
      </c>
      <c r="BN59" s="30">
        <v>25</v>
      </c>
      <c r="BO59" s="30">
        <v>25</v>
      </c>
      <c r="BP59" s="30">
        <v>25</v>
      </c>
      <c r="BQ59" s="30">
        <v>40</v>
      </c>
      <c r="BR59" s="31" t="s">
        <v>234</v>
      </c>
      <c r="BS59" s="31" t="s">
        <v>234</v>
      </c>
      <c r="BT59" s="31" t="s">
        <v>234</v>
      </c>
      <c r="BU59" s="31" t="s">
        <v>234</v>
      </c>
      <c r="BV59" s="31" t="s">
        <v>234</v>
      </c>
      <c r="BW59" s="31" t="s">
        <v>234</v>
      </c>
      <c r="BX59" s="31" t="s">
        <v>234</v>
      </c>
      <c r="BY59" s="33">
        <v>21.25</v>
      </c>
      <c r="BZ59" s="33">
        <v>26</v>
      </c>
      <c r="CA59" s="33">
        <v>30</v>
      </c>
      <c r="CB59" s="33">
        <v>22.5</v>
      </c>
      <c r="CC59" s="33">
        <v>30</v>
      </c>
      <c r="CD59" s="33">
        <v>22.5</v>
      </c>
      <c r="CE59" s="31" t="s">
        <v>235</v>
      </c>
      <c r="CF59" s="33">
        <v>1</v>
      </c>
      <c r="CG59" s="30">
        <v>25</v>
      </c>
      <c r="CH59" s="30">
        <v>100</v>
      </c>
      <c r="CI59" s="30" t="s">
        <v>494</v>
      </c>
      <c r="CJ59" s="31" t="s">
        <v>495</v>
      </c>
      <c r="CK59" s="30"/>
      <c r="CL59" s="32">
        <v>45014</v>
      </c>
      <c r="CM59" s="30">
        <v>97</v>
      </c>
      <c r="CN59" s="30"/>
      <c r="CO59" s="30">
        <v>10</v>
      </c>
      <c r="CP59" s="30">
        <v>15</v>
      </c>
      <c r="CQ59" s="30">
        <v>5</v>
      </c>
      <c r="CR59" s="30">
        <v>25</v>
      </c>
      <c r="CS59" s="30">
        <v>20</v>
      </c>
      <c r="CT59" s="30">
        <v>15</v>
      </c>
      <c r="CU59" s="33">
        <v>12.5</v>
      </c>
      <c r="CV59" s="30">
        <v>55</v>
      </c>
      <c r="CW59" s="30">
        <v>55</v>
      </c>
      <c r="CX59" s="30">
        <v>60</v>
      </c>
      <c r="CY59" s="30">
        <v>50</v>
      </c>
      <c r="CZ59" s="30">
        <v>45</v>
      </c>
      <c r="DA59" s="30">
        <v>60</v>
      </c>
      <c r="DB59" s="30">
        <v>60</v>
      </c>
      <c r="DC59" s="30">
        <v>50</v>
      </c>
      <c r="DD59" s="30" t="s">
        <v>277</v>
      </c>
      <c r="DE59" s="30" t="s">
        <v>277</v>
      </c>
      <c r="DF59" s="30" t="s">
        <v>277</v>
      </c>
      <c r="DG59" s="30" t="s">
        <v>277</v>
      </c>
      <c r="DH59" s="30" t="s">
        <v>277</v>
      </c>
      <c r="DI59" s="30" t="s">
        <v>277</v>
      </c>
      <c r="DJ59" s="30" t="s">
        <v>277</v>
      </c>
      <c r="DK59" s="33">
        <v>51.25</v>
      </c>
      <c r="DL59" s="33">
        <v>53</v>
      </c>
      <c r="DM59" s="33">
        <v>56.666666666666664</v>
      </c>
      <c r="DN59" s="33">
        <v>47.5</v>
      </c>
      <c r="DO59" s="33">
        <v>56.666666666666664</v>
      </c>
      <c r="DP59" s="33">
        <v>53.75</v>
      </c>
      <c r="DQ59" s="30">
        <v>4</v>
      </c>
      <c r="DR59" s="33">
        <v>2</v>
      </c>
      <c r="DS59" s="30" t="s">
        <v>496</v>
      </c>
      <c r="DT59" s="30" t="s">
        <v>496</v>
      </c>
      <c r="DU59" s="30">
        <v>15</v>
      </c>
      <c r="DV59" s="30">
        <v>10</v>
      </c>
      <c r="DW59" s="30">
        <v>0</v>
      </c>
      <c r="DX59" s="30">
        <v>20</v>
      </c>
      <c r="DY59" s="30">
        <v>15</v>
      </c>
      <c r="DZ59" s="30">
        <v>15</v>
      </c>
      <c r="EA59" s="33">
        <v>7.5</v>
      </c>
      <c r="EB59" s="30">
        <v>35</v>
      </c>
      <c r="EC59" s="30">
        <v>40</v>
      </c>
      <c r="ED59" s="30">
        <v>25</v>
      </c>
      <c r="EE59" s="30">
        <v>25</v>
      </c>
      <c r="EF59" s="30">
        <v>20</v>
      </c>
      <c r="EG59" s="30">
        <v>35</v>
      </c>
      <c r="EH59" s="30">
        <v>30</v>
      </c>
      <c r="EI59" s="30">
        <v>25</v>
      </c>
      <c r="EJ59" s="30" t="s">
        <v>277</v>
      </c>
      <c r="EK59" s="30" t="s">
        <v>277</v>
      </c>
      <c r="EL59" s="30" t="s">
        <v>277</v>
      </c>
      <c r="EM59" s="30" t="s">
        <v>277</v>
      </c>
      <c r="EN59" s="30" t="s">
        <v>277</v>
      </c>
      <c r="EO59" s="30" t="s">
        <v>277</v>
      </c>
      <c r="EP59" s="30" t="s">
        <v>277</v>
      </c>
      <c r="EQ59" s="33">
        <v>23.75</v>
      </c>
      <c r="ER59" s="33">
        <v>25</v>
      </c>
      <c r="ES59" s="33">
        <v>33.333333333333336</v>
      </c>
      <c r="ET59" s="33">
        <v>22.5</v>
      </c>
      <c r="EU59" s="33">
        <v>30</v>
      </c>
      <c r="EV59" s="33">
        <v>26.25</v>
      </c>
      <c r="EW59" s="30">
        <v>1</v>
      </c>
      <c r="EX59" s="33">
        <v>1</v>
      </c>
      <c r="EY59" s="30" t="s">
        <v>497</v>
      </c>
      <c r="EZ59" s="30" t="s">
        <v>497</v>
      </c>
      <c r="FA59" s="30"/>
      <c r="FB59" s="30"/>
      <c r="FC59" s="30" t="s">
        <v>498</v>
      </c>
      <c r="FD59" s="32">
        <v>45112</v>
      </c>
      <c r="FE59" s="30">
        <v>195</v>
      </c>
      <c r="FF59" s="30"/>
      <c r="FG59" s="30">
        <v>30</v>
      </c>
      <c r="FH59" s="30">
        <v>45</v>
      </c>
      <c r="FI59" s="30">
        <v>35</v>
      </c>
      <c r="FJ59" s="30">
        <v>45</v>
      </c>
      <c r="FK59" s="30">
        <v>45</v>
      </c>
      <c r="FL59" s="30">
        <v>50</v>
      </c>
      <c r="FM59" s="33">
        <v>40</v>
      </c>
      <c r="FN59" s="30">
        <v>55</v>
      </c>
      <c r="FO59" s="30">
        <v>50</v>
      </c>
      <c r="FP59" s="30">
        <v>70</v>
      </c>
      <c r="FQ59" s="30">
        <v>50</v>
      </c>
      <c r="FR59" s="30">
        <v>50</v>
      </c>
      <c r="FS59" s="30">
        <v>55</v>
      </c>
      <c r="FT59" s="30">
        <v>60</v>
      </c>
      <c r="FU59" s="30">
        <v>50</v>
      </c>
      <c r="FV59" s="30" t="s">
        <v>234</v>
      </c>
      <c r="FW59" s="30" t="s">
        <v>234</v>
      </c>
      <c r="FX59" s="30" t="s">
        <v>234</v>
      </c>
      <c r="FY59" s="30" t="s">
        <v>234</v>
      </c>
      <c r="FZ59" s="30" t="s">
        <v>234</v>
      </c>
      <c r="GA59" s="30" t="s">
        <v>234</v>
      </c>
      <c r="GB59" s="30" t="s">
        <v>234</v>
      </c>
      <c r="GC59" s="33">
        <v>55</v>
      </c>
      <c r="GD59" s="33">
        <v>56</v>
      </c>
      <c r="GE59" s="33">
        <v>58.333333333333336</v>
      </c>
      <c r="GF59" s="33">
        <v>50</v>
      </c>
      <c r="GG59" s="33">
        <v>55</v>
      </c>
      <c r="GH59" s="33">
        <v>56.25</v>
      </c>
      <c r="GI59" s="30">
        <v>2</v>
      </c>
      <c r="GJ59" s="33">
        <v>2</v>
      </c>
      <c r="GK59" s="30" t="s">
        <v>497</v>
      </c>
      <c r="GL59" s="30" t="s">
        <v>497</v>
      </c>
      <c r="GM59" s="30">
        <v>20</v>
      </c>
      <c r="GN59" s="30">
        <v>20</v>
      </c>
      <c r="GO59" s="30">
        <v>15</v>
      </c>
      <c r="GP59" s="30">
        <v>20</v>
      </c>
      <c r="GQ59" s="30">
        <v>25</v>
      </c>
      <c r="GR59" s="30">
        <v>20</v>
      </c>
      <c r="GS59" s="30">
        <v>17.5</v>
      </c>
      <c r="GT59" s="30">
        <v>40</v>
      </c>
      <c r="GU59" s="30">
        <v>35</v>
      </c>
      <c r="GV59" s="30">
        <v>20</v>
      </c>
      <c r="GW59" s="30">
        <v>20</v>
      </c>
      <c r="GX59" s="30">
        <v>20</v>
      </c>
      <c r="GY59" s="30">
        <v>25</v>
      </c>
      <c r="GZ59" s="30">
        <v>25</v>
      </c>
      <c r="HA59" s="30">
        <v>35</v>
      </c>
      <c r="HB59" s="30" t="s">
        <v>277</v>
      </c>
      <c r="HC59" s="30" t="s">
        <v>277</v>
      </c>
      <c r="HD59" s="30" t="s">
        <v>277</v>
      </c>
      <c r="HE59" s="30" t="s">
        <v>277</v>
      </c>
      <c r="HF59" s="30" t="s">
        <v>277</v>
      </c>
      <c r="HG59" s="30" t="s">
        <v>277</v>
      </c>
      <c r="HH59" s="30" t="s">
        <v>277</v>
      </c>
      <c r="HI59" s="30">
        <v>20</v>
      </c>
      <c r="HJ59" s="30">
        <v>24</v>
      </c>
      <c r="HK59" s="30">
        <v>31.666666666666668</v>
      </c>
      <c r="HL59" s="30">
        <v>20</v>
      </c>
      <c r="HM59" s="30">
        <v>28.333333333333332</v>
      </c>
      <c r="HN59" s="30">
        <v>21.25</v>
      </c>
      <c r="HO59" s="30" t="s">
        <v>235</v>
      </c>
      <c r="HP59" s="30">
        <v>1</v>
      </c>
      <c r="HQ59" s="30" t="s">
        <v>497</v>
      </c>
      <c r="HR59" s="30" t="s">
        <v>497</v>
      </c>
      <c r="HS59" s="30" t="s">
        <v>499</v>
      </c>
      <c r="HT59" s="30"/>
      <c r="HU59" s="30"/>
      <c r="HV59" s="32">
        <v>45320</v>
      </c>
      <c r="HW59" s="30">
        <v>403</v>
      </c>
      <c r="HX59" s="30"/>
      <c r="HY59" s="30">
        <v>25</v>
      </c>
      <c r="HZ59" s="30">
        <v>30</v>
      </c>
      <c r="IA59" s="30">
        <v>30</v>
      </c>
      <c r="IB59" s="30">
        <v>40</v>
      </c>
      <c r="IC59" s="30">
        <v>50</v>
      </c>
      <c r="ID59" s="30">
        <v>45</v>
      </c>
      <c r="IE59" s="30">
        <v>32.5</v>
      </c>
      <c r="IF59" s="30">
        <v>50</v>
      </c>
      <c r="IG59" s="30">
        <v>50</v>
      </c>
      <c r="IH59" s="30">
        <v>65</v>
      </c>
      <c r="II59" s="30">
        <v>55</v>
      </c>
      <c r="IJ59" s="30">
        <v>50</v>
      </c>
      <c r="IK59" s="30">
        <v>60</v>
      </c>
      <c r="IL59" s="30">
        <v>60</v>
      </c>
      <c r="IM59" s="30">
        <v>60</v>
      </c>
      <c r="IN59" s="30" t="s">
        <v>277</v>
      </c>
      <c r="IO59" s="30" t="s">
        <v>277</v>
      </c>
      <c r="IP59" s="30" t="s">
        <v>277</v>
      </c>
      <c r="IQ59" s="30" t="s">
        <v>277</v>
      </c>
      <c r="IR59" s="30" t="s">
        <v>277</v>
      </c>
      <c r="IS59" s="30" t="s">
        <v>277</v>
      </c>
      <c r="IT59" s="30" t="s">
        <v>277</v>
      </c>
      <c r="IU59" s="30">
        <v>56.25</v>
      </c>
      <c r="IV59" s="30">
        <v>58</v>
      </c>
      <c r="IW59" s="30">
        <v>55</v>
      </c>
      <c r="IX59" s="30">
        <v>52.5</v>
      </c>
      <c r="IY59" s="30">
        <v>60</v>
      </c>
      <c r="IZ59" s="30">
        <v>57.5</v>
      </c>
      <c r="JA59" s="30">
        <v>4</v>
      </c>
      <c r="JB59" s="30">
        <v>2</v>
      </c>
      <c r="JC59" s="30" t="s">
        <v>497</v>
      </c>
      <c r="JD59" s="30" t="s">
        <v>497</v>
      </c>
      <c r="JE59" s="30">
        <v>20</v>
      </c>
      <c r="JF59" s="30">
        <v>20</v>
      </c>
      <c r="JG59" s="30">
        <v>20</v>
      </c>
      <c r="JH59" s="30">
        <v>25</v>
      </c>
      <c r="JI59" s="30">
        <v>25</v>
      </c>
      <c r="JJ59" s="30">
        <v>25</v>
      </c>
      <c r="JK59" s="30">
        <v>21.25</v>
      </c>
      <c r="JL59" s="30">
        <v>35</v>
      </c>
      <c r="JM59" s="30">
        <v>35</v>
      </c>
      <c r="JN59" s="30">
        <v>20</v>
      </c>
      <c r="JO59" s="30">
        <v>20</v>
      </c>
      <c r="JP59" s="30">
        <v>25</v>
      </c>
      <c r="JQ59" s="30">
        <v>30</v>
      </c>
      <c r="JR59" s="30">
        <v>35</v>
      </c>
      <c r="JS59" s="30">
        <v>35</v>
      </c>
      <c r="JT59" s="30" t="s">
        <v>277</v>
      </c>
      <c r="JU59" s="30" t="s">
        <v>277</v>
      </c>
      <c r="JV59" s="30" t="s">
        <v>277</v>
      </c>
      <c r="JW59" s="30" t="s">
        <v>277</v>
      </c>
      <c r="JX59" s="30" t="s">
        <v>277</v>
      </c>
      <c r="JY59" s="30" t="s">
        <v>277</v>
      </c>
      <c r="JZ59" s="30" t="s">
        <v>277</v>
      </c>
      <c r="KA59" s="30">
        <v>21.25</v>
      </c>
      <c r="KB59" s="30">
        <v>27</v>
      </c>
      <c r="KC59" s="30">
        <v>30</v>
      </c>
      <c r="KD59" s="30">
        <v>22.5</v>
      </c>
      <c r="KE59" s="30">
        <v>33.333333333333336</v>
      </c>
      <c r="KF59" s="30">
        <v>23.75</v>
      </c>
      <c r="KG59" s="30">
        <v>4</v>
      </c>
      <c r="KH59" s="30">
        <v>1</v>
      </c>
      <c r="KI59" s="30" t="s">
        <v>497</v>
      </c>
      <c r="KJ59" s="30" t="s">
        <v>497</v>
      </c>
      <c r="KK59" s="30" t="s">
        <v>500</v>
      </c>
      <c r="KL59" s="30" t="s">
        <v>497</v>
      </c>
    </row>
    <row r="60" spans="1:299" s="1" customFormat="1" ht="33">
      <c r="A60" s="8" t="s">
        <v>650</v>
      </c>
      <c r="B60" s="1">
        <v>49</v>
      </c>
      <c r="C60" s="20">
        <v>40</v>
      </c>
      <c r="D60" s="1">
        <v>1</v>
      </c>
      <c r="E60" s="1" t="s">
        <v>588</v>
      </c>
      <c r="F60" s="1">
        <v>21090</v>
      </c>
      <c r="G60" s="13" t="s">
        <v>46</v>
      </c>
      <c r="H60" s="12" t="s">
        <v>47</v>
      </c>
      <c r="I60" s="12" t="s">
        <v>22</v>
      </c>
      <c r="J60" s="13">
        <v>44985</v>
      </c>
      <c r="K60" s="30" t="s">
        <v>661</v>
      </c>
      <c r="L60" s="30" t="s">
        <v>709</v>
      </c>
      <c r="M60" s="14" t="s">
        <v>132</v>
      </c>
      <c r="N60" s="12" t="s">
        <v>131</v>
      </c>
      <c r="O60" s="1">
        <v>0</v>
      </c>
      <c r="T60" s="32">
        <v>44966</v>
      </c>
      <c r="U60" s="30">
        <v>-19</v>
      </c>
      <c r="V60" s="30"/>
      <c r="W60" s="30">
        <v>20</v>
      </c>
      <c r="X60" s="30">
        <v>35</v>
      </c>
      <c r="Y60" s="30">
        <v>25</v>
      </c>
      <c r="Z60" s="30">
        <v>50</v>
      </c>
      <c r="AA60" s="30">
        <v>65</v>
      </c>
      <c r="AB60" s="30">
        <v>55</v>
      </c>
      <c r="AC60" s="33">
        <v>33.75</v>
      </c>
      <c r="AD60" s="30">
        <v>30</v>
      </c>
      <c r="AE60" s="30">
        <v>30</v>
      </c>
      <c r="AF60" s="30">
        <v>35</v>
      </c>
      <c r="AG60" s="30">
        <v>40</v>
      </c>
      <c r="AH60" s="30">
        <v>50</v>
      </c>
      <c r="AI60" s="30">
        <v>65</v>
      </c>
      <c r="AJ60" s="30">
        <v>95</v>
      </c>
      <c r="AK60" s="30">
        <v>95</v>
      </c>
      <c r="AL60" s="31" t="s">
        <v>234</v>
      </c>
      <c r="AM60" s="31" t="s">
        <v>234</v>
      </c>
      <c r="AN60" s="31" t="s">
        <v>234</v>
      </c>
      <c r="AO60" s="31" t="s">
        <v>234</v>
      </c>
      <c r="AP60" s="31" t="s">
        <v>234</v>
      </c>
      <c r="AQ60" s="31" t="s">
        <v>234</v>
      </c>
      <c r="AR60" s="31" t="s">
        <v>234</v>
      </c>
      <c r="AS60" s="33">
        <v>41.25</v>
      </c>
      <c r="AT60" s="33">
        <v>63</v>
      </c>
      <c r="AU60" s="33">
        <v>31.666666666666668</v>
      </c>
      <c r="AV60" s="33">
        <v>45</v>
      </c>
      <c r="AW60" s="33">
        <v>85</v>
      </c>
      <c r="AX60" s="33">
        <v>47.5</v>
      </c>
      <c r="AY60" s="34">
        <v>3</v>
      </c>
      <c r="AZ60" s="33">
        <v>2</v>
      </c>
      <c r="BA60" s="30">
        <v>45</v>
      </c>
      <c r="BB60" s="30">
        <v>92</v>
      </c>
      <c r="BC60" s="30">
        <v>10</v>
      </c>
      <c r="BD60" s="30">
        <v>30</v>
      </c>
      <c r="BE60" s="30">
        <v>25</v>
      </c>
      <c r="BF60" s="30">
        <v>35</v>
      </c>
      <c r="BG60" s="30">
        <v>35</v>
      </c>
      <c r="BH60" s="30">
        <v>30</v>
      </c>
      <c r="BI60" s="33">
        <v>28.75</v>
      </c>
      <c r="BJ60" s="30">
        <v>25</v>
      </c>
      <c r="BK60" s="30">
        <v>20</v>
      </c>
      <c r="BL60" s="30">
        <v>30</v>
      </c>
      <c r="BM60" s="30">
        <v>35</v>
      </c>
      <c r="BN60" s="30">
        <v>35</v>
      </c>
      <c r="BO60" s="30">
        <v>35</v>
      </c>
      <c r="BP60" s="30">
        <v>55</v>
      </c>
      <c r="BQ60" s="30">
        <v>75</v>
      </c>
      <c r="BR60" s="31" t="s">
        <v>234</v>
      </c>
      <c r="BS60" s="31" t="s">
        <v>234</v>
      </c>
      <c r="BT60" s="31" t="s">
        <v>234</v>
      </c>
      <c r="BU60" s="31" t="s">
        <v>234</v>
      </c>
      <c r="BV60" s="31" t="s">
        <v>234</v>
      </c>
      <c r="BW60" s="31" t="s">
        <v>234</v>
      </c>
      <c r="BX60" s="31" t="s">
        <v>234</v>
      </c>
      <c r="BY60" s="33">
        <v>33.75</v>
      </c>
      <c r="BZ60" s="33">
        <v>46</v>
      </c>
      <c r="CA60" s="33">
        <v>25</v>
      </c>
      <c r="CB60" s="33">
        <v>35</v>
      </c>
      <c r="CC60" s="33">
        <v>55</v>
      </c>
      <c r="CD60" s="33">
        <v>33.75</v>
      </c>
      <c r="CE60" s="30">
        <v>3</v>
      </c>
      <c r="CF60" s="33">
        <v>1</v>
      </c>
      <c r="CG60" s="30">
        <v>45</v>
      </c>
      <c r="CH60" s="30">
        <v>100</v>
      </c>
      <c r="CI60" s="30" t="s">
        <v>501</v>
      </c>
      <c r="CJ60" s="30" t="s">
        <v>502</v>
      </c>
      <c r="CK60" s="30"/>
      <c r="CL60" s="32">
        <v>45097</v>
      </c>
      <c r="CM60" s="30">
        <v>112</v>
      </c>
      <c r="CN60" s="30"/>
      <c r="CO60" s="30">
        <v>10</v>
      </c>
      <c r="CP60" s="30">
        <v>35</v>
      </c>
      <c r="CQ60" s="30">
        <v>30</v>
      </c>
      <c r="CR60" s="30">
        <v>60</v>
      </c>
      <c r="CS60" s="30">
        <v>65</v>
      </c>
      <c r="CT60" s="30">
        <v>65</v>
      </c>
      <c r="CU60" s="33">
        <v>38.75</v>
      </c>
      <c r="CV60" s="30">
        <v>40</v>
      </c>
      <c r="CW60" s="30">
        <v>40</v>
      </c>
      <c r="CX60" s="30">
        <v>45</v>
      </c>
      <c r="CY60" s="30">
        <v>55</v>
      </c>
      <c r="CZ60" s="30">
        <v>60</v>
      </c>
      <c r="DA60" s="30">
        <v>65</v>
      </c>
      <c r="DB60" s="30">
        <v>90</v>
      </c>
      <c r="DC60" s="30">
        <v>90</v>
      </c>
      <c r="DD60" s="30" t="s">
        <v>277</v>
      </c>
      <c r="DE60" s="30" t="s">
        <v>277</v>
      </c>
      <c r="DF60" s="30" t="s">
        <v>277</v>
      </c>
      <c r="DG60" s="30" t="s">
        <v>277</v>
      </c>
      <c r="DH60" s="30" t="s">
        <v>277</v>
      </c>
      <c r="DI60" s="30" t="s">
        <v>277</v>
      </c>
      <c r="DJ60" s="30" t="s">
        <v>277</v>
      </c>
      <c r="DK60" s="33">
        <v>53.75</v>
      </c>
      <c r="DL60" s="33">
        <v>68</v>
      </c>
      <c r="DM60" s="33">
        <v>41.666666666666664</v>
      </c>
      <c r="DN60" s="33">
        <v>57.5</v>
      </c>
      <c r="DO60" s="33">
        <v>81.666666666666671</v>
      </c>
      <c r="DP60" s="33">
        <v>56.25</v>
      </c>
      <c r="DQ60" s="30">
        <v>3</v>
      </c>
      <c r="DR60" s="33">
        <v>2</v>
      </c>
      <c r="DS60" s="30">
        <v>50</v>
      </c>
      <c r="DT60" s="30">
        <v>92</v>
      </c>
      <c r="DU60" s="30">
        <v>10</v>
      </c>
      <c r="DV60" s="30">
        <v>25</v>
      </c>
      <c r="DW60" s="30">
        <v>20</v>
      </c>
      <c r="DX60" s="30">
        <v>40</v>
      </c>
      <c r="DY60" s="30">
        <v>25</v>
      </c>
      <c r="DZ60" s="30">
        <v>35</v>
      </c>
      <c r="EA60" s="33">
        <v>26.25</v>
      </c>
      <c r="EB60" s="30">
        <v>30</v>
      </c>
      <c r="EC60" s="30">
        <v>30</v>
      </c>
      <c r="ED60" s="30">
        <v>25</v>
      </c>
      <c r="EE60" s="30">
        <v>25</v>
      </c>
      <c r="EF60" s="30">
        <v>40</v>
      </c>
      <c r="EG60" s="30">
        <v>25</v>
      </c>
      <c r="EH60" s="30">
        <v>40</v>
      </c>
      <c r="EI60" s="30">
        <v>60</v>
      </c>
      <c r="EJ60" s="30" t="s">
        <v>277</v>
      </c>
      <c r="EK60" s="30" t="s">
        <v>277</v>
      </c>
      <c r="EL60" s="30" t="s">
        <v>277</v>
      </c>
      <c r="EM60" s="30" t="s">
        <v>277</v>
      </c>
      <c r="EN60" s="30" t="s">
        <v>277</v>
      </c>
      <c r="EO60" s="30" t="s">
        <v>277</v>
      </c>
      <c r="EP60" s="30" t="s">
        <v>277</v>
      </c>
      <c r="EQ60" s="33">
        <v>28.75</v>
      </c>
      <c r="ER60" s="33">
        <v>38</v>
      </c>
      <c r="ES60" s="33">
        <v>28.333333333333332</v>
      </c>
      <c r="ET60" s="33">
        <v>32.5</v>
      </c>
      <c r="EU60" s="33">
        <v>41.666666666666664</v>
      </c>
      <c r="EV60" s="33">
        <v>28.75</v>
      </c>
      <c r="EW60" s="30">
        <v>6</v>
      </c>
      <c r="EX60" s="33">
        <v>1</v>
      </c>
      <c r="EY60" s="30">
        <v>30</v>
      </c>
      <c r="EZ60" s="30">
        <v>100</v>
      </c>
      <c r="FA60" s="30" t="s">
        <v>503</v>
      </c>
      <c r="FB60" s="30" t="s">
        <v>504</v>
      </c>
      <c r="FC60" s="30"/>
      <c r="FD60" s="32">
        <v>45195</v>
      </c>
      <c r="FE60" s="30">
        <v>210</v>
      </c>
      <c r="FF60" s="30"/>
      <c r="FG60" s="30">
        <v>10</v>
      </c>
      <c r="FH60" s="30">
        <v>40</v>
      </c>
      <c r="FI60" s="30">
        <v>30</v>
      </c>
      <c r="FJ60" s="30">
        <v>50</v>
      </c>
      <c r="FK60" s="30">
        <v>70</v>
      </c>
      <c r="FL60" s="42">
        <v>85</v>
      </c>
      <c r="FM60" s="33">
        <v>37.5</v>
      </c>
      <c r="FN60" s="30">
        <v>20</v>
      </c>
      <c r="FO60" s="30">
        <v>30</v>
      </c>
      <c r="FP60" s="30">
        <v>45</v>
      </c>
      <c r="FQ60" s="30">
        <v>55</v>
      </c>
      <c r="FR60" s="30">
        <v>50</v>
      </c>
      <c r="FS60" s="30">
        <v>75</v>
      </c>
      <c r="FT60" s="30">
        <v>100</v>
      </c>
      <c r="FU60" s="30">
        <v>90</v>
      </c>
      <c r="FV60" s="30" t="s">
        <v>234</v>
      </c>
      <c r="FW60" s="30" t="s">
        <v>234</v>
      </c>
      <c r="FX60" s="30" t="s">
        <v>234</v>
      </c>
      <c r="FY60" s="30" t="s">
        <v>234</v>
      </c>
      <c r="FZ60" s="30" t="s">
        <v>234</v>
      </c>
      <c r="GA60" s="30" t="s">
        <v>234</v>
      </c>
      <c r="GB60" s="30" t="s">
        <v>234</v>
      </c>
      <c r="GC60" s="33">
        <v>51.25</v>
      </c>
      <c r="GD60" s="33">
        <v>68</v>
      </c>
      <c r="GE60" s="33">
        <v>31.666666666666668</v>
      </c>
      <c r="GF60" s="33">
        <v>52.5</v>
      </c>
      <c r="GG60" s="33">
        <v>88.333333333333329</v>
      </c>
      <c r="GH60" s="33">
        <v>56.25</v>
      </c>
      <c r="GI60" s="30">
        <v>3</v>
      </c>
      <c r="GJ60" s="33">
        <v>2</v>
      </c>
      <c r="GK60" s="30">
        <v>45</v>
      </c>
      <c r="GL60" s="30">
        <v>92</v>
      </c>
      <c r="GM60" s="30">
        <v>5</v>
      </c>
      <c r="GN60" s="30">
        <v>25</v>
      </c>
      <c r="GO60" s="30">
        <v>15</v>
      </c>
      <c r="GP60" s="30">
        <v>35</v>
      </c>
      <c r="GQ60" s="30">
        <v>20</v>
      </c>
      <c r="GR60" s="30">
        <v>35</v>
      </c>
      <c r="GS60" s="30">
        <v>22.5</v>
      </c>
      <c r="GT60" s="30">
        <v>40</v>
      </c>
      <c r="GU60" s="30">
        <v>30</v>
      </c>
      <c r="GV60" s="30">
        <v>25</v>
      </c>
      <c r="GW60" s="30">
        <v>20</v>
      </c>
      <c r="GX60" s="30">
        <v>35</v>
      </c>
      <c r="GY60" s="30">
        <v>20</v>
      </c>
      <c r="GZ60" s="30">
        <v>40</v>
      </c>
      <c r="HA60" s="30">
        <v>65</v>
      </c>
      <c r="HB60" s="30" t="s">
        <v>277</v>
      </c>
      <c r="HC60" s="30" t="s">
        <v>277</v>
      </c>
      <c r="HD60" s="30" t="s">
        <v>277</v>
      </c>
      <c r="HE60" s="30" t="s">
        <v>277</v>
      </c>
      <c r="HF60" s="30" t="s">
        <v>277</v>
      </c>
      <c r="HG60" s="30" t="s">
        <v>277</v>
      </c>
      <c r="HH60" s="30" t="s">
        <v>277</v>
      </c>
      <c r="HI60" s="30">
        <v>25</v>
      </c>
      <c r="HJ60" s="30">
        <v>37</v>
      </c>
      <c r="HK60" s="30">
        <v>31.666666666666668</v>
      </c>
      <c r="HL60" s="30">
        <v>27.5</v>
      </c>
      <c r="HM60" s="30">
        <v>41.666666666666664</v>
      </c>
      <c r="HN60" s="30">
        <v>25</v>
      </c>
      <c r="HO60" s="30">
        <v>6</v>
      </c>
      <c r="HP60" s="30">
        <v>1</v>
      </c>
      <c r="HQ60" s="30">
        <v>30</v>
      </c>
      <c r="HR60" s="30">
        <v>100</v>
      </c>
      <c r="HS60" s="30" t="s">
        <v>505</v>
      </c>
      <c r="HT60" s="30" t="s">
        <v>506</v>
      </c>
      <c r="HU60" s="30"/>
      <c r="HV60" s="32">
        <v>45335</v>
      </c>
      <c r="HW60" s="30">
        <v>350</v>
      </c>
      <c r="HX60" s="30"/>
      <c r="HY60" s="30">
        <v>10</v>
      </c>
      <c r="HZ60" s="30">
        <v>40</v>
      </c>
      <c r="IA60" s="30">
        <v>35</v>
      </c>
      <c r="IB60" s="30">
        <v>50</v>
      </c>
      <c r="IC60" s="30">
        <v>70</v>
      </c>
      <c r="ID60" s="30" t="s">
        <v>543</v>
      </c>
      <c r="IE60" s="30">
        <v>40</v>
      </c>
      <c r="IF60" s="30">
        <v>30</v>
      </c>
      <c r="IG60" s="30">
        <v>35</v>
      </c>
      <c r="IH60" s="30">
        <v>45</v>
      </c>
      <c r="II60" s="30">
        <v>55</v>
      </c>
      <c r="IJ60" s="30">
        <v>50</v>
      </c>
      <c r="IK60" s="30">
        <v>75</v>
      </c>
      <c r="IL60" s="30">
        <v>100</v>
      </c>
      <c r="IM60" s="30">
        <v>95</v>
      </c>
      <c r="IN60" s="30" t="s">
        <v>277</v>
      </c>
      <c r="IO60" s="30" t="s">
        <v>277</v>
      </c>
      <c r="IP60" s="30" t="s">
        <v>277</v>
      </c>
      <c r="IQ60" s="30" t="s">
        <v>277</v>
      </c>
      <c r="IR60" s="30" t="s">
        <v>277</v>
      </c>
      <c r="IS60" s="30" t="s">
        <v>277</v>
      </c>
      <c r="IT60" s="30" t="s">
        <v>277</v>
      </c>
      <c r="IU60" s="30">
        <v>51.25</v>
      </c>
      <c r="IV60" s="30">
        <v>69</v>
      </c>
      <c r="IW60" s="30">
        <v>36.666666666666664</v>
      </c>
      <c r="IX60" s="30">
        <v>52.5</v>
      </c>
      <c r="IY60" s="30">
        <v>90</v>
      </c>
      <c r="IZ60" s="30">
        <v>56.25</v>
      </c>
      <c r="JA60" s="30">
        <v>3</v>
      </c>
      <c r="JB60" s="30">
        <v>2</v>
      </c>
      <c r="JC60" s="30">
        <v>50</v>
      </c>
      <c r="JD60" s="30">
        <v>92</v>
      </c>
      <c r="JE60" s="30">
        <v>10</v>
      </c>
      <c r="JF60" s="30">
        <v>30</v>
      </c>
      <c r="JG60" s="30">
        <v>20</v>
      </c>
      <c r="JH60" s="30">
        <v>40</v>
      </c>
      <c r="JI60" s="30">
        <v>25</v>
      </c>
      <c r="JJ60" s="30">
        <v>45</v>
      </c>
      <c r="JK60" s="30">
        <v>27.5</v>
      </c>
      <c r="JL60" s="30">
        <v>40</v>
      </c>
      <c r="JM60" s="30">
        <v>30</v>
      </c>
      <c r="JN60" s="30">
        <v>30</v>
      </c>
      <c r="JO60" s="30">
        <v>30</v>
      </c>
      <c r="JP60" s="30">
        <v>40</v>
      </c>
      <c r="JQ60" s="30">
        <v>25</v>
      </c>
      <c r="JR60" s="30">
        <v>50</v>
      </c>
      <c r="JS60" s="30">
        <v>65</v>
      </c>
      <c r="JT60" s="30" t="s">
        <v>277</v>
      </c>
      <c r="JU60" s="30" t="s">
        <v>277</v>
      </c>
      <c r="JV60" s="30" t="s">
        <v>277</v>
      </c>
      <c r="JW60" s="30" t="s">
        <v>277</v>
      </c>
      <c r="JX60" s="30" t="s">
        <v>277</v>
      </c>
      <c r="JY60" s="30" t="s">
        <v>277</v>
      </c>
      <c r="JZ60" s="30" t="s">
        <v>277</v>
      </c>
      <c r="KA60" s="30">
        <v>32.5</v>
      </c>
      <c r="KB60" s="30">
        <v>43</v>
      </c>
      <c r="KC60" s="30">
        <v>33.333333333333336</v>
      </c>
      <c r="KD60" s="30">
        <v>35</v>
      </c>
      <c r="KE60" s="30">
        <v>46.666666666666664</v>
      </c>
      <c r="KF60" s="30">
        <v>31.25</v>
      </c>
      <c r="KG60" s="30">
        <v>3</v>
      </c>
      <c r="KH60" s="30">
        <v>1</v>
      </c>
      <c r="KI60" s="30">
        <v>30</v>
      </c>
      <c r="KJ60" s="30">
        <v>100</v>
      </c>
      <c r="KK60" s="30"/>
      <c r="KL60" s="30"/>
    </row>
    <row r="61" spans="1:299" s="1" customFormat="1">
      <c r="A61" s="8" t="s">
        <v>651</v>
      </c>
      <c r="B61" s="1">
        <v>27</v>
      </c>
      <c r="C61" s="20">
        <v>20</v>
      </c>
      <c r="D61" s="1">
        <v>1</v>
      </c>
      <c r="E61" s="1" t="s">
        <v>589</v>
      </c>
      <c r="F61" s="1">
        <v>21089</v>
      </c>
      <c r="G61" s="12" t="s">
        <v>105</v>
      </c>
      <c r="H61" s="12" t="s">
        <v>106</v>
      </c>
      <c r="I61" s="12" t="s">
        <v>22</v>
      </c>
      <c r="J61" s="10">
        <v>44691</v>
      </c>
      <c r="K61" s="30" t="s">
        <v>661</v>
      </c>
      <c r="L61" s="30" t="s">
        <v>710</v>
      </c>
      <c r="M61" s="14" t="s">
        <v>116</v>
      </c>
      <c r="N61" s="1" t="s">
        <v>117</v>
      </c>
      <c r="T61" s="32">
        <v>44690</v>
      </c>
      <c r="U61" s="30">
        <v>-1</v>
      </c>
      <c r="V61" s="30" t="s">
        <v>554</v>
      </c>
      <c r="W61" s="30">
        <v>10</v>
      </c>
      <c r="X61" s="30">
        <v>20</v>
      </c>
      <c r="Y61" s="30">
        <v>15</v>
      </c>
      <c r="Z61" s="30">
        <v>25</v>
      </c>
      <c r="AA61" s="30">
        <v>20</v>
      </c>
      <c r="AB61" s="30">
        <v>20</v>
      </c>
      <c r="AC61" s="33">
        <v>18.75</v>
      </c>
      <c r="AD61" s="30">
        <v>60</v>
      </c>
      <c r="AE61" s="30">
        <v>55</v>
      </c>
      <c r="AF61" s="30">
        <v>70</v>
      </c>
      <c r="AG61" s="30">
        <v>60</v>
      </c>
      <c r="AH61" s="30">
        <v>35</v>
      </c>
      <c r="AI61" s="30">
        <v>45</v>
      </c>
      <c r="AJ61" s="30">
        <v>50</v>
      </c>
      <c r="AK61" s="30">
        <v>45</v>
      </c>
      <c r="AL61" s="31" t="s">
        <v>234</v>
      </c>
      <c r="AM61" s="31" t="s">
        <v>234</v>
      </c>
      <c r="AN61" s="31" t="s">
        <v>234</v>
      </c>
      <c r="AO61" s="31" t="s">
        <v>234</v>
      </c>
      <c r="AP61" s="31" t="s">
        <v>234</v>
      </c>
      <c r="AQ61" s="31" t="s">
        <v>234</v>
      </c>
      <c r="AR61" s="31" t="s">
        <v>234</v>
      </c>
      <c r="AS61" s="33">
        <v>56.25</v>
      </c>
      <c r="AT61" s="33">
        <v>52</v>
      </c>
      <c r="AU61" s="33">
        <v>61.666666666666664</v>
      </c>
      <c r="AV61" s="33">
        <v>47.5</v>
      </c>
      <c r="AW61" s="33">
        <v>46.666666666666664</v>
      </c>
      <c r="AX61" s="33">
        <v>52.5</v>
      </c>
      <c r="AY61" s="34">
        <v>1</v>
      </c>
      <c r="AZ61" s="33">
        <v>2</v>
      </c>
      <c r="BA61" s="30">
        <v>55</v>
      </c>
      <c r="BB61" s="30">
        <v>100</v>
      </c>
      <c r="BC61" s="30">
        <v>10</v>
      </c>
      <c r="BD61" s="30">
        <v>20</v>
      </c>
      <c r="BE61" s="30">
        <v>15</v>
      </c>
      <c r="BF61" s="30">
        <v>10</v>
      </c>
      <c r="BG61" s="30">
        <v>15</v>
      </c>
      <c r="BH61" s="30">
        <v>10</v>
      </c>
      <c r="BI61" s="33">
        <v>15</v>
      </c>
      <c r="BJ61" s="30">
        <v>20</v>
      </c>
      <c r="BK61" s="30">
        <v>20</v>
      </c>
      <c r="BL61" s="30">
        <v>20</v>
      </c>
      <c r="BM61" s="30">
        <v>20</v>
      </c>
      <c r="BN61" s="30">
        <v>10</v>
      </c>
      <c r="BO61" s="30">
        <v>15</v>
      </c>
      <c r="BP61" s="30">
        <v>10</v>
      </c>
      <c r="BQ61" s="30">
        <v>15</v>
      </c>
      <c r="BR61" s="31" t="s">
        <v>234</v>
      </c>
      <c r="BS61" s="31" t="s">
        <v>234</v>
      </c>
      <c r="BT61" s="31" t="s">
        <v>234</v>
      </c>
      <c r="BU61" s="31" t="s">
        <v>234</v>
      </c>
      <c r="BV61" s="31" t="s">
        <v>234</v>
      </c>
      <c r="BW61" s="31" t="s">
        <v>234</v>
      </c>
      <c r="BX61" s="31" t="s">
        <v>234</v>
      </c>
      <c r="BY61" s="33">
        <v>17.5</v>
      </c>
      <c r="BZ61" s="33">
        <v>15</v>
      </c>
      <c r="CA61" s="33">
        <v>20</v>
      </c>
      <c r="CB61" s="33">
        <v>15</v>
      </c>
      <c r="CC61" s="33">
        <v>13.333333333333334</v>
      </c>
      <c r="CD61" s="33">
        <v>16.25</v>
      </c>
      <c r="CE61" s="30">
        <v>4</v>
      </c>
      <c r="CF61" s="33">
        <v>0</v>
      </c>
      <c r="CG61" s="30">
        <v>20</v>
      </c>
      <c r="CH61" s="30">
        <v>100</v>
      </c>
      <c r="CI61" s="31" t="s">
        <v>507</v>
      </c>
      <c r="CJ61" s="31" t="s">
        <v>508</v>
      </c>
      <c r="CK61" s="56"/>
      <c r="CL61" s="32">
        <v>44832</v>
      </c>
      <c r="CM61" s="30">
        <v>141</v>
      </c>
      <c r="CN61" s="30"/>
      <c r="CO61" s="30">
        <v>20</v>
      </c>
      <c r="CP61" s="30">
        <v>25</v>
      </c>
      <c r="CQ61" s="30">
        <v>15</v>
      </c>
      <c r="CR61" s="30">
        <v>25</v>
      </c>
      <c r="CS61" s="30">
        <v>20</v>
      </c>
      <c r="CT61" s="30">
        <v>20</v>
      </c>
      <c r="CU61" s="33">
        <v>20</v>
      </c>
      <c r="CV61" s="30">
        <v>50</v>
      </c>
      <c r="CW61" s="30">
        <v>50</v>
      </c>
      <c r="CX61" s="30">
        <v>55</v>
      </c>
      <c r="CY61" s="30">
        <v>60</v>
      </c>
      <c r="CZ61" s="30">
        <v>45</v>
      </c>
      <c r="DA61" s="30">
        <v>45</v>
      </c>
      <c r="DB61" s="30">
        <v>50</v>
      </c>
      <c r="DC61" s="30">
        <v>45</v>
      </c>
      <c r="DD61" s="30"/>
      <c r="DE61" s="30"/>
      <c r="DF61" s="30"/>
      <c r="DG61" s="30"/>
      <c r="DH61" s="30"/>
      <c r="DI61" s="30"/>
      <c r="DJ61" s="30"/>
      <c r="DK61" s="33">
        <v>55</v>
      </c>
      <c r="DL61" s="33">
        <v>51</v>
      </c>
      <c r="DM61" s="33">
        <v>51.666666666666664</v>
      </c>
      <c r="DN61" s="33">
        <v>52.5</v>
      </c>
      <c r="DO61" s="33">
        <v>46.666666666666664</v>
      </c>
      <c r="DP61" s="33">
        <v>51.25</v>
      </c>
      <c r="DQ61" s="30">
        <v>2</v>
      </c>
      <c r="DR61" s="33">
        <v>2</v>
      </c>
      <c r="DS61" s="30">
        <v>55</v>
      </c>
      <c r="DT61" s="30">
        <v>100</v>
      </c>
      <c r="DU61" s="30">
        <v>20</v>
      </c>
      <c r="DV61" s="30">
        <v>15</v>
      </c>
      <c r="DW61" s="30">
        <v>15</v>
      </c>
      <c r="DX61" s="30">
        <v>15</v>
      </c>
      <c r="DY61" s="30">
        <v>20</v>
      </c>
      <c r="DZ61" s="30">
        <v>5</v>
      </c>
      <c r="EA61" s="33">
        <v>15</v>
      </c>
      <c r="EB61" s="30">
        <v>35</v>
      </c>
      <c r="EC61" s="30">
        <v>25</v>
      </c>
      <c r="ED61" s="30">
        <v>15</v>
      </c>
      <c r="EE61" s="30">
        <v>15</v>
      </c>
      <c r="EF61" s="30">
        <v>15</v>
      </c>
      <c r="EG61" s="30">
        <v>25</v>
      </c>
      <c r="EH61" s="30">
        <v>5</v>
      </c>
      <c r="EI61" s="30">
        <v>20</v>
      </c>
      <c r="EJ61" s="30" t="s">
        <v>277</v>
      </c>
      <c r="EK61" s="30" t="s">
        <v>277</v>
      </c>
      <c r="EL61" s="30" t="s">
        <v>277</v>
      </c>
      <c r="EM61" s="30" t="s">
        <v>277</v>
      </c>
      <c r="EN61" s="30" t="s">
        <v>277</v>
      </c>
      <c r="EO61" s="30" t="s">
        <v>277</v>
      </c>
      <c r="EP61" s="30" t="s">
        <v>277</v>
      </c>
      <c r="EQ61" s="33">
        <v>15</v>
      </c>
      <c r="ER61" s="33">
        <v>14</v>
      </c>
      <c r="ES61" s="33">
        <v>25</v>
      </c>
      <c r="ET61" s="33">
        <v>15</v>
      </c>
      <c r="EU61" s="33">
        <v>16.666666666666668</v>
      </c>
      <c r="EV61" s="33">
        <v>17.5</v>
      </c>
      <c r="EW61" s="30">
        <v>1</v>
      </c>
      <c r="EX61" s="33">
        <v>0</v>
      </c>
      <c r="EY61" s="30">
        <v>15</v>
      </c>
      <c r="EZ61" s="30">
        <v>100</v>
      </c>
      <c r="FA61" s="30" t="s">
        <v>509</v>
      </c>
      <c r="FB61" s="30" t="s">
        <v>510</v>
      </c>
      <c r="FC61" s="56"/>
      <c r="FD61" s="59">
        <v>44972</v>
      </c>
      <c r="FE61" s="30">
        <v>281</v>
      </c>
      <c r="FF61" s="30"/>
      <c r="FG61" s="30">
        <v>10</v>
      </c>
      <c r="FH61" s="30">
        <v>25</v>
      </c>
      <c r="FI61" s="30">
        <v>10</v>
      </c>
      <c r="FJ61" s="30">
        <v>20</v>
      </c>
      <c r="FK61" s="30">
        <v>35</v>
      </c>
      <c r="FL61" s="30">
        <v>20</v>
      </c>
      <c r="FM61" s="33">
        <v>16.25</v>
      </c>
      <c r="FN61" s="30">
        <v>40</v>
      </c>
      <c r="FO61" s="30">
        <v>40</v>
      </c>
      <c r="FP61" s="30">
        <v>40</v>
      </c>
      <c r="FQ61" s="30">
        <v>35</v>
      </c>
      <c r="FR61" s="30">
        <v>20</v>
      </c>
      <c r="FS61" s="30">
        <v>35</v>
      </c>
      <c r="FT61" s="30">
        <v>50</v>
      </c>
      <c r="FU61" s="30">
        <v>40</v>
      </c>
      <c r="FV61" s="30"/>
      <c r="FW61" s="30"/>
      <c r="FX61" s="30"/>
      <c r="FY61" s="30"/>
      <c r="FZ61" s="30"/>
      <c r="GA61" s="30"/>
      <c r="GB61" s="30"/>
      <c r="GC61" s="33">
        <v>32.5</v>
      </c>
      <c r="GD61" s="33">
        <v>37</v>
      </c>
      <c r="GE61" s="33">
        <v>40</v>
      </c>
      <c r="GF61" s="33">
        <v>27.5</v>
      </c>
      <c r="GG61" s="33">
        <v>41.666666666666664</v>
      </c>
      <c r="GH61" s="33">
        <v>32.5</v>
      </c>
      <c r="GI61" s="30" t="s">
        <v>235</v>
      </c>
      <c r="GJ61" s="33">
        <v>1</v>
      </c>
      <c r="GK61" s="30">
        <v>40</v>
      </c>
      <c r="GL61" s="30">
        <v>100</v>
      </c>
      <c r="GM61" s="30">
        <v>20</v>
      </c>
      <c r="GN61" s="30">
        <v>10</v>
      </c>
      <c r="GO61" s="30">
        <v>5</v>
      </c>
      <c r="GP61" s="30">
        <v>10</v>
      </c>
      <c r="GQ61" s="30">
        <v>15</v>
      </c>
      <c r="GR61" s="30">
        <v>5</v>
      </c>
      <c r="GS61" s="30">
        <v>7.5</v>
      </c>
      <c r="GT61" s="30">
        <v>30</v>
      </c>
      <c r="GU61" s="30">
        <v>20</v>
      </c>
      <c r="GV61" s="30">
        <v>10</v>
      </c>
      <c r="GW61" s="30">
        <v>5</v>
      </c>
      <c r="GX61" s="30">
        <v>10</v>
      </c>
      <c r="GY61" s="30">
        <v>15</v>
      </c>
      <c r="GZ61" s="30">
        <v>5</v>
      </c>
      <c r="HA61" s="30">
        <v>10</v>
      </c>
      <c r="HB61" s="30"/>
      <c r="HC61" s="30"/>
      <c r="HD61" s="30"/>
      <c r="HE61" s="30"/>
      <c r="HF61" s="30"/>
      <c r="HG61" s="30"/>
      <c r="HH61" s="30"/>
      <c r="HI61" s="30">
        <v>7.5</v>
      </c>
      <c r="HJ61" s="30">
        <v>8</v>
      </c>
      <c r="HK61" s="30">
        <v>20</v>
      </c>
      <c r="HL61" s="30">
        <v>7.5</v>
      </c>
      <c r="HM61" s="30">
        <v>10</v>
      </c>
      <c r="HN61" s="30">
        <v>10</v>
      </c>
      <c r="HO61" s="30">
        <v>1</v>
      </c>
      <c r="HP61" s="30">
        <v>0</v>
      </c>
      <c r="HQ61" s="30">
        <v>15</v>
      </c>
      <c r="HR61" s="30">
        <v>100</v>
      </c>
      <c r="HS61" s="30" t="s">
        <v>511</v>
      </c>
      <c r="HT61" s="30" t="s">
        <v>512</v>
      </c>
      <c r="HU61" s="30"/>
      <c r="HV61" s="50"/>
      <c r="HW61" s="30">
        <v>-44691</v>
      </c>
      <c r="HX61" s="30"/>
      <c r="HY61" s="30"/>
      <c r="HZ61" s="30"/>
      <c r="IA61" s="30"/>
      <c r="IB61" s="30"/>
      <c r="IC61" s="30"/>
      <c r="ID61" s="30"/>
      <c r="IE61" s="30">
        <v>0</v>
      </c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>
        <v>0</v>
      </c>
      <c r="IV61" s="30" t="e">
        <v>#DIV/0!</v>
      </c>
      <c r="IW61" s="30" t="e">
        <v>#DIV/0!</v>
      </c>
      <c r="IX61" s="30" t="e">
        <v>#DIV/0!</v>
      </c>
      <c r="IY61" s="30" t="e">
        <v>#DIV/0!</v>
      </c>
      <c r="IZ61" s="30" t="e">
        <v>#DIV/0!</v>
      </c>
      <c r="JA61" s="30" t="e">
        <v>#DIV/0!</v>
      </c>
      <c r="JB61" s="30" t="e">
        <v>#DIV/0!</v>
      </c>
      <c r="JC61" s="30"/>
      <c r="JD61" s="30"/>
      <c r="JE61" s="30"/>
      <c r="JF61" s="30"/>
      <c r="JG61" s="30"/>
      <c r="JH61" s="30"/>
      <c r="JI61" s="30"/>
      <c r="JJ61" s="30"/>
      <c r="JK61" s="30">
        <v>0</v>
      </c>
      <c r="JL61" s="30"/>
      <c r="JM61" s="30"/>
      <c r="JN61" s="30"/>
      <c r="JO61" s="30"/>
      <c r="JP61" s="30"/>
      <c r="JQ61" s="30"/>
      <c r="JR61" s="30"/>
      <c r="JS61" s="30"/>
      <c r="JT61" s="30" t="s">
        <v>277</v>
      </c>
      <c r="JU61" s="30" t="s">
        <v>277</v>
      </c>
      <c r="JV61" s="30" t="s">
        <v>277</v>
      </c>
      <c r="JW61" s="30" t="s">
        <v>277</v>
      </c>
      <c r="JX61" s="30" t="s">
        <v>277</v>
      </c>
      <c r="JY61" s="30" t="s">
        <v>277</v>
      </c>
      <c r="JZ61" s="30" t="s">
        <v>277</v>
      </c>
      <c r="KA61" s="30">
        <v>0</v>
      </c>
      <c r="KB61" s="30" t="e">
        <v>#DIV/0!</v>
      </c>
      <c r="KC61" s="30" t="e">
        <v>#DIV/0!</v>
      </c>
      <c r="KD61" s="30" t="e">
        <v>#DIV/0!</v>
      </c>
      <c r="KE61" s="30" t="e">
        <v>#DIV/0!</v>
      </c>
      <c r="KF61" s="30" t="e">
        <v>#DIV/0!</v>
      </c>
      <c r="KG61" s="30" t="e">
        <v>#DIV/0!</v>
      </c>
      <c r="KH61" s="30" t="e">
        <v>#DIV/0!</v>
      </c>
      <c r="KI61" s="30"/>
      <c r="KJ61" s="30"/>
      <c r="KK61" s="30"/>
      <c r="KL61" s="30"/>
    </row>
    <row r="62" spans="1:299" s="1" customFormat="1" ht="66">
      <c r="A62" s="8" t="s">
        <v>652</v>
      </c>
      <c r="B62" s="1">
        <v>43</v>
      </c>
      <c r="C62" s="20">
        <v>40</v>
      </c>
      <c r="D62" s="1">
        <v>1</v>
      </c>
      <c r="E62" s="1" t="s">
        <v>591</v>
      </c>
      <c r="F62" s="1">
        <v>21088</v>
      </c>
      <c r="G62" s="12" t="s">
        <v>75</v>
      </c>
      <c r="H62" s="12" t="s">
        <v>76</v>
      </c>
      <c r="I62" s="12" t="s">
        <v>22</v>
      </c>
      <c r="J62" s="13">
        <v>44791</v>
      </c>
      <c r="K62" s="30" t="s">
        <v>661</v>
      </c>
      <c r="L62" s="30" t="s">
        <v>662</v>
      </c>
      <c r="M62" s="14" t="s">
        <v>159</v>
      </c>
      <c r="N62" s="12" t="s">
        <v>123</v>
      </c>
      <c r="T62" s="32">
        <v>44781</v>
      </c>
      <c r="U62" s="30">
        <v>-10</v>
      </c>
      <c r="V62" s="30"/>
      <c r="W62" s="30">
        <v>35</v>
      </c>
      <c r="X62" s="30">
        <v>30</v>
      </c>
      <c r="Y62" s="30">
        <v>5</v>
      </c>
      <c r="Z62" s="30">
        <v>30</v>
      </c>
      <c r="AA62" s="30">
        <v>30</v>
      </c>
      <c r="AB62" s="30">
        <v>15</v>
      </c>
      <c r="AC62" s="33">
        <v>17.5</v>
      </c>
      <c r="AD62" s="30">
        <v>30</v>
      </c>
      <c r="AE62" s="30">
        <v>35</v>
      </c>
      <c r="AF62" s="30">
        <v>30</v>
      </c>
      <c r="AG62" s="30">
        <v>35</v>
      </c>
      <c r="AH62" s="30">
        <v>50</v>
      </c>
      <c r="AI62" s="30">
        <v>50</v>
      </c>
      <c r="AJ62" s="30">
        <v>55</v>
      </c>
      <c r="AK62" s="30">
        <v>70</v>
      </c>
      <c r="AL62" s="31" t="s">
        <v>234</v>
      </c>
      <c r="AM62" s="31" t="s">
        <v>234</v>
      </c>
      <c r="AN62" s="31" t="s">
        <v>234</v>
      </c>
      <c r="AO62" s="31" t="s">
        <v>234</v>
      </c>
      <c r="AP62" s="31" t="s">
        <v>234</v>
      </c>
      <c r="AQ62" s="31" t="s">
        <v>234</v>
      </c>
      <c r="AR62" s="31" t="s">
        <v>234</v>
      </c>
      <c r="AS62" s="33">
        <v>37.5</v>
      </c>
      <c r="AT62" s="33">
        <v>48</v>
      </c>
      <c r="AU62" s="33">
        <v>31.666666666666668</v>
      </c>
      <c r="AV62" s="33">
        <v>42.5</v>
      </c>
      <c r="AW62" s="33">
        <v>58.333333333333336</v>
      </c>
      <c r="AX62" s="33">
        <v>41.25</v>
      </c>
      <c r="AY62" s="34">
        <v>3</v>
      </c>
      <c r="AZ62" s="33">
        <v>2</v>
      </c>
      <c r="BA62" s="30">
        <v>50</v>
      </c>
      <c r="BB62" s="30">
        <v>100</v>
      </c>
      <c r="BC62" s="30">
        <v>20</v>
      </c>
      <c r="BD62" s="30">
        <v>20</v>
      </c>
      <c r="BE62" s="30">
        <v>15</v>
      </c>
      <c r="BF62" s="30">
        <v>15</v>
      </c>
      <c r="BG62" s="30">
        <v>15</v>
      </c>
      <c r="BH62" s="30">
        <v>20</v>
      </c>
      <c r="BI62" s="33">
        <v>16.25</v>
      </c>
      <c r="BJ62" s="30">
        <v>20</v>
      </c>
      <c r="BK62" s="30">
        <v>20</v>
      </c>
      <c r="BL62" s="30">
        <v>20</v>
      </c>
      <c r="BM62" s="30">
        <v>15</v>
      </c>
      <c r="BN62" s="30">
        <v>15</v>
      </c>
      <c r="BO62" s="30">
        <v>15</v>
      </c>
      <c r="BP62" s="30">
        <v>20</v>
      </c>
      <c r="BQ62" s="30">
        <v>45</v>
      </c>
      <c r="BR62" s="31" t="s">
        <v>234</v>
      </c>
      <c r="BS62" s="31" t="s">
        <v>234</v>
      </c>
      <c r="BT62" s="31" t="s">
        <v>234</v>
      </c>
      <c r="BU62" s="31" t="s">
        <v>234</v>
      </c>
      <c r="BV62" s="31" t="s">
        <v>234</v>
      </c>
      <c r="BW62" s="31" t="s">
        <v>234</v>
      </c>
      <c r="BX62" s="31" t="s">
        <v>234</v>
      </c>
      <c r="BY62" s="33">
        <v>16.25</v>
      </c>
      <c r="BZ62" s="33">
        <v>23</v>
      </c>
      <c r="CA62" s="33">
        <v>20</v>
      </c>
      <c r="CB62" s="33">
        <v>15</v>
      </c>
      <c r="CC62" s="33">
        <v>26.666666666666668</v>
      </c>
      <c r="CD62" s="33">
        <v>16.25</v>
      </c>
      <c r="CE62" s="30">
        <v>3</v>
      </c>
      <c r="CF62" s="33">
        <v>0</v>
      </c>
      <c r="CG62" s="30">
        <v>20</v>
      </c>
      <c r="CH62" s="30">
        <v>100</v>
      </c>
      <c r="CI62" s="30" t="s">
        <v>513</v>
      </c>
      <c r="CJ62" s="31" t="s">
        <v>514</v>
      </c>
      <c r="CK62" s="48"/>
      <c r="CL62" s="32">
        <v>44886</v>
      </c>
      <c r="CM62" s="30">
        <v>95</v>
      </c>
      <c r="CN62" s="30"/>
      <c r="CO62" s="30">
        <v>10</v>
      </c>
      <c r="CP62" s="30">
        <v>25</v>
      </c>
      <c r="CQ62" s="30">
        <v>5</v>
      </c>
      <c r="CR62" s="30">
        <v>20</v>
      </c>
      <c r="CS62" s="30">
        <v>20</v>
      </c>
      <c r="CT62" s="30">
        <v>0</v>
      </c>
      <c r="CU62" s="33">
        <v>13.75</v>
      </c>
      <c r="CV62" s="30">
        <v>35</v>
      </c>
      <c r="CW62" s="30">
        <v>35</v>
      </c>
      <c r="CX62" s="30">
        <v>25</v>
      </c>
      <c r="CY62" s="30">
        <v>25</v>
      </c>
      <c r="CZ62" s="30">
        <v>20</v>
      </c>
      <c r="DA62" s="30">
        <v>20</v>
      </c>
      <c r="DB62" s="30">
        <v>30</v>
      </c>
      <c r="DC62" s="30">
        <v>55</v>
      </c>
      <c r="DD62" s="30"/>
      <c r="DE62" s="30"/>
      <c r="DF62" s="30"/>
      <c r="DG62" s="30"/>
      <c r="DH62" s="30"/>
      <c r="DI62" s="30"/>
      <c r="DJ62" s="30"/>
      <c r="DK62" s="33">
        <v>23.75</v>
      </c>
      <c r="DL62" s="33">
        <v>31</v>
      </c>
      <c r="DM62" s="33">
        <v>31.666666666666668</v>
      </c>
      <c r="DN62" s="33">
        <v>22.5</v>
      </c>
      <c r="DO62" s="33">
        <v>35</v>
      </c>
      <c r="DP62" s="33">
        <v>22.5</v>
      </c>
      <c r="DQ62" s="30" t="s">
        <v>235</v>
      </c>
      <c r="DR62" s="33">
        <v>1</v>
      </c>
      <c r="DS62" s="30">
        <v>30</v>
      </c>
      <c r="DT62" s="30">
        <v>100</v>
      </c>
      <c r="DU62" s="30">
        <v>15</v>
      </c>
      <c r="DV62" s="30">
        <v>10</v>
      </c>
      <c r="DW62" s="30">
        <v>10</v>
      </c>
      <c r="DX62" s="30">
        <v>25</v>
      </c>
      <c r="DY62" s="30">
        <v>20</v>
      </c>
      <c r="DZ62" s="30">
        <v>15</v>
      </c>
      <c r="EA62" s="33">
        <v>13.75</v>
      </c>
      <c r="EB62" s="30">
        <v>30</v>
      </c>
      <c r="EC62" s="30">
        <v>20</v>
      </c>
      <c r="ED62" s="30">
        <v>10</v>
      </c>
      <c r="EE62" s="30">
        <v>20</v>
      </c>
      <c r="EF62" s="30">
        <v>25</v>
      </c>
      <c r="EG62" s="30">
        <v>20</v>
      </c>
      <c r="EH62" s="30">
        <v>30</v>
      </c>
      <c r="EI62" s="30">
        <v>40</v>
      </c>
      <c r="EJ62" s="30" t="s">
        <v>277</v>
      </c>
      <c r="EK62" s="30" t="s">
        <v>277</v>
      </c>
      <c r="EL62" s="30" t="s">
        <v>277</v>
      </c>
      <c r="EM62" s="30" t="s">
        <v>277</v>
      </c>
      <c r="EN62" s="30" t="s">
        <v>277</v>
      </c>
      <c r="EO62" s="30" t="s">
        <v>277</v>
      </c>
      <c r="EP62" s="30" t="s">
        <v>277</v>
      </c>
      <c r="EQ62" s="33">
        <v>18.75</v>
      </c>
      <c r="ER62" s="33">
        <v>25</v>
      </c>
      <c r="ES62" s="33">
        <v>20</v>
      </c>
      <c r="ET62" s="33">
        <v>22.5</v>
      </c>
      <c r="EU62" s="33">
        <v>30</v>
      </c>
      <c r="EV62" s="33">
        <v>18.75</v>
      </c>
      <c r="EW62" s="30">
        <v>3</v>
      </c>
      <c r="EX62" s="33">
        <v>0</v>
      </c>
      <c r="EY62" s="30">
        <v>30</v>
      </c>
      <c r="EZ62" s="30">
        <v>100</v>
      </c>
      <c r="FA62" s="30" t="s">
        <v>515</v>
      </c>
      <c r="FB62" s="30" t="s">
        <v>516</v>
      </c>
      <c r="FC62" s="48"/>
      <c r="FD62" s="32">
        <v>44977</v>
      </c>
      <c r="FE62" s="30">
        <v>186</v>
      </c>
      <c r="FF62" s="30"/>
      <c r="FG62" s="30">
        <v>25</v>
      </c>
      <c r="FH62" s="30">
        <v>20</v>
      </c>
      <c r="FI62" s="30">
        <v>15</v>
      </c>
      <c r="FJ62" s="30">
        <v>15</v>
      </c>
      <c r="FK62" s="30">
        <v>30</v>
      </c>
      <c r="FL62" s="30">
        <v>15</v>
      </c>
      <c r="FM62" s="33">
        <v>16.25</v>
      </c>
      <c r="FN62" s="30">
        <v>25</v>
      </c>
      <c r="FO62" s="30">
        <v>30</v>
      </c>
      <c r="FP62" s="30">
        <v>30</v>
      </c>
      <c r="FQ62" s="30">
        <v>25</v>
      </c>
      <c r="FR62" s="30">
        <v>15</v>
      </c>
      <c r="FS62" s="30">
        <v>30</v>
      </c>
      <c r="FT62" s="30">
        <v>25</v>
      </c>
      <c r="FU62" s="30">
        <v>55</v>
      </c>
      <c r="FV62" s="30"/>
      <c r="FW62" s="30"/>
      <c r="FX62" s="30"/>
      <c r="FY62" s="30"/>
      <c r="FZ62" s="30"/>
      <c r="GA62" s="30"/>
      <c r="GB62" s="30"/>
      <c r="GC62" s="33">
        <v>23.75</v>
      </c>
      <c r="GD62" s="33">
        <v>30</v>
      </c>
      <c r="GE62" s="33">
        <v>28.333333333333332</v>
      </c>
      <c r="GF62" s="33">
        <v>20</v>
      </c>
      <c r="GG62" s="33">
        <v>36.666666666666664</v>
      </c>
      <c r="GH62" s="33">
        <v>25</v>
      </c>
      <c r="GI62" s="30">
        <v>3</v>
      </c>
      <c r="GJ62" s="33">
        <v>1</v>
      </c>
      <c r="GK62" s="30">
        <v>20</v>
      </c>
      <c r="GL62" s="30">
        <v>100</v>
      </c>
      <c r="GM62" s="30">
        <v>10</v>
      </c>
      <c r="GN62" s="30">
        <v>15</v>
      </c>
      <c r="GO62" s="30">
        <v>15</v>
      </c>
      <c r="GP62" s="30">
        <v>15</v>
      </c>
      <c r="GQ62" s="30">
        <v>15</v>
      </c>
      <c r="GR62" s="30">
        <v>20</v>
      </c>
      <c r="GS62" s="30">
        <v>15</v>
      </c>
      <c r="GT62" s="30">
        <v>20</v>
      </c>
      <c r="GU62" s="30">
        <v>10</v>
      </c>
      <c r="GV62" s="30">
        <v>15</v>
      </c>
      <c r="GW62" s="30">
        <v>15</v>
      </c>
      <c r="GX62" s="30">
        <v>15</v>
      </c>
      <c r="GY62" s="30">
        <v>15</v>
      </c>
      <c r="GZ62" s="30">
        <v>30</v>
      </c>
      <c r="HA62" s="30">
        <v>35</v>
      </c>
      <c r="HB62" s="30"/>
      <c r="HC62" s="30"/>
      <c r="HD62" s="30"/>
      <c r="HE62" s="30"/>
      <c r="HF62" s="30"/>
      <c r="HG62" s="30"/>
      <c r="HH62" s="30"/>
      <c r="HI62" s="30">
        <v>15</v>
      </c>
      <c r="HJ62" s="30">
        <v>22</v>
      </c>
      <c r="HK62" s="30">
        <v>15</v>
      </c>
      <c r="HL62" s="30">
        <v>15</v>
      </c>
      <c r="HM62" s="30">
        <v>26.666666666666668</v>
      </c>
      <c r="HN62" s="30">
        <v>15</v>
      </c>
      <c r="HO62" s="30">
        <v>3</v>
      </c>
      <c r="HP62" s="30">
        <v>0</v>
      </c>
      <c r="HQ62" s="30">
        <v>20</v>
      </c>
      <c r="HR62" s="30">
        <v>100</v>
      </c>
      <c r="HS62" s="30" t="s">
        <v>517</v>
      </c>
      <c r="HT62" s="30" t="s">
        <v>518</v>
      </c>
      <c r="HU62" s="48"/>
      <c r="HV62" s="32">
        <v>45159</v>
      </c>
      <c r="HW62" s="30">
        <v>368</v>
      </c>
      <c r="HX62" s="30"/>
      <c r="HY62" s="30">
        <v>25</v>
      </c>
      <c r="HZ62" s="30">
        <v>25</v>
      </c>
      <c r="IA62" s="30">
        <v>15</v>
      </c>
      <c r="IB62" s="30">
        <v>20</v>
      </c>
      <c r="IC62" s="30">
        <v>30</v>
      </c>
      <c r="ID62" s="30">
        <v>25</v>
      </c>
      <c r="IE62" s="30">
        <v>18.75</v>
      </c>
      <c r="IF62" s="30">
        <v>25</v>
      </c>
      <c r="IG62" s="30">
        <v>30</v>
      </c>
      <c r="IH62" s="30">
        <v>35</v>
      </c>
      <c r="II62" s="30">
        <v>25</v>
      </c>
      <c r="IJ62" s="30">
        <v>20</v>
      </c>
      <c r="IK62" s="30">
        <v>30</v>
      </c>
      <c r="IL62" s="30">
        <v>35</v>
      </c>
      <c r="IM62" s="30">
        <v>60</v>
      </c>
      <c r="IN62" s="30"/>
      <c r="IO62" s="30"/>
      <c r="IP62" s="30"/>
      <c r="IQ62" s="30"/>
      <c r="IR62" s="30"/>
      <c r="IS62" s="30"/>
      <c r="IT62" s="30"/>
      <c r="IU62" s="30">
        <v>26.25</v>
      </c>
      <c r="IV62" s="30">
        <v>35</v>
      </c>
      <c r="IW62" s="30">
        <v>30</v>
      </c>
      <c r="IX62" s="30">
        <v>22.5</v>
      </c>
      <c r="IY62" s="30">
        <v>41.666666666666664</v>
      </c>
      <c r="IZ62" s="30">
        <v>27.5</v>
      </c>
      <c r="JA62" s="30">
        <v>3</v>
      </c>
      <c r="JB62" s="30">
        <v>1</v>
      </c>
      <c r="JC62" s="30">
        <v>25</v>
      </c>
      <c r="JD62" s="30">
        <v>100</v>
      </c>
      <c r="JE62" s="30">
        <v>20</v>
      </c>
      <c r="JF62" s="30">
        <v>20</v>
      </c>
      <c r="JG62" s="30">
        <v>15</v>
      </c>
      <c r="JH62" s="30">
        <v>20</v>
      </c>
      <c r="JI62" s="30">
        <v>15</v>
      </c>
      <c r="JJ62" s="30">
        <v>25</v>
      </c>
      <c r="JK62" s="30">
        <v>17.5</v>
      </c>
      <c r="JL62" s="30">
        <v>25</v>
      </c>
      <c r="JM62" s="30">
        <v>20</v>
      </c>
      <c r="JN62" s="30">
        <v>20</v>
      </c>
      <c r="JO62" s="30">
        <v>15</v>
      </c>
      <c r="JP62" s="30">
        <v>20</v>
      </c>
      <c r="JQ62" s="30">
        <v>15</v>
      </c>
      <c r="JR62" s="30">
        <v>25</v>
      </c>
      <c r="JS62" s="30">
        <v>50</v>
      </c>
      <c r="JT62" s="30" t="s">
        <v>277</v>
      </c>
      <c r="JU62" s="30" t="s">
        <v>277</v>
      </c>
      <c r="JV62" s="30" t="s">
        <v>277</v>
      </c>
      <c r="JW62" s="30" t="s">
        <v>277</v>
      </c>
      <c r="JX62" s="30" t="s">
        <v>277</v>
      </c>
      <c r="JY62" s="30" t="s">
        <v>277</v>
      </c>
      <c r="JZ62" s="30" t="s">
        <v>277</v>
      </c>
      <c r="KA62" s="30">
        <v>17.5</v>
      </c>
      <c r="KB62" s="30">
        <v>26</v>
      </c>
      <c r="KC62" s="30">
        <v>21.666666666666668</v>
      </c>
      <c r="KD62" s="30">
        <v>17.5</v>
      </c>
      <c r="KE62" s="30">
        <v>30</v>
      </c>
      <c r="KF62" s="30">
        <v>17.5</v>
      </c>
      <c r="KG62" s="30" t="s">
        <v>235</v>
      </c>
      <c r="KH62" s="30">
        <v>0</v>
      </c>
      <c r="KI62" s="30">
        <v>15</v>
      </c>
      <c r="KJ62" s="30">
        <v>100</v>
      </c>
      <c r="KK62" s="30" t="s">
        <v>519</v>
      </c>
      <c r="KL62" s="30" t="s">
        <v>520</v>
      </c>
    </row>
    <row r="63" spans="1:299" s="1" customFormat="1" ht="49.5">
      <c r="A63" s="8" t="s">
        <v>653</v>
      </c>
      <c r="B63" s="1">
        <v>47</v>
      </c>
      <c r="C63" s="20">
        <v>40</v>
      </c>
      <c r="D63" s="1">
        <v>1</v>
      </c>
      <c r="E63" s="17" t="s">
        <v>590</v>
      </c>
      <c r="F63" s="17">
        <v>21087</v>
      </c>
      <c r="G63" s="10">
        <v>45089</v>
      </c>
      <c r="H63" s="10">
        <v>45088</v>
      </c>
      <c r="I63" s="1" t="s">
        <v>172</v>
      </c>
      <c r="J63" s="10">
        <v>45090</v>
      </c>
      <c r="K63" s="83"/>
      <c r="L63" s="79" t="s">
        <v>725</v>
      </c>
      <c r="M63" s="14" t="s">
        <v>169</v>
      </c>
      <c r="N63" s="1" t="s">
        <v>142</v>
      </c>
      <c r="O63" s="1">
        <v>0</v>
      </c>
      <c r="T63" s="10">
        <v>45089</v>
      </c>
      <c r="U63" s="30">
        <v>-1</v>
      </c>
      <c r="V63" s="1" t="s">
        <v>566</v>
      </c>
      <c r="W63" s="1">
        <v>15</v>
      </c>
      <c r="X63" s="1">
        <v>30</v>
      </c>
      <c r="Y63" s="1">
        <v>60</v>
      </c>
      <c r="Z63" s="1">
        <v>70</v>
      </c>
      <c r="AA63" s="1">
        <v>60</v>
      </c>
      <c r="AB63" s="1">
        <v>70</v>
      </c>
      <c r="AC63" s="1">
        <v>55</v>
      </c>
      <c r="AD63" s="1">
        <v>10</v>
      </c>
      <c r="AE63" s="1">
        <v>15</v>
      </c>
      <c r="AF63" s="1">
        <v>30</v>
      </c>
      <c r="AG63" s="1">
        <v>60</v>
      </c>
      <c r="AH63" s="1">
        <v>70</v>
      </c>
      <c r="AI63" s="1">
        <v>60</v>
      </c>
      <c r="AJ63" s="1">
        <v>70</v>
      </c>
      <c r="AK63" s="1">
        <v>80</v>
      </c>
      <c r="AS63" s="33">
        <v>55</v>
      </c>
      <c r="AT63" s="33">
        <v>62</v>
      </c>
      <c r="AU63" s="33">
        <v>18.333333333333332</v>
      </c>
      <c r="AV63" s="33">
        <v>65</v>
      </c>
      <c r="AW63" s="33">
        <v>70</v>
      </c>
      <c r="AX63" s="33">
        <v>55</v>
      </c>
      <c r="AY63" s="1">
        <v>3</v>
      </c>
      <c r="AZ63" s="33">
        <v>2</v>
      </c>
      <c r="BA63" s="1">
        <v>55</v>
      </c>
      <c r="BB63" s="1">
        <v>80</v>
      </c>
      <c r="BC63" s="1">
        <v>10</v>
      </c>
      <c r="BD63" s="1">
        <v>15</v>
      </c>
      <c r="BE63" s="1">
        <v>30</v>
      </c>
      <c r="BF63" s="1">
        <v>55</v>
      </c>
      <c r="BG63" s="1">
        <v>65</v>
      </c>
      <c r="BH63" s="1">
        <v>60</v>
      </c>
      <c r="BI63" s="33">
        <v>32.5</v>
      </c>
      <c r="BJ63" s="1">
        <v>15</v>
      </c>
      <c r="BK63" s="1">
        <v>10</v>
      </c>
      <c r="BL63" s="1">
        <v>15</v>
      </c>
      <c r="BM63" s="1">
        <v>30</v>
      </c>
      <c r="BN63" s="1">
        <v>55</v>
      </c>
      <c r="BO63" s="1">
        <v>65</v>
      </c>
      <c r="BP63" s="1">
        <v>60</v>
      </c>
      <c r="BQ63" s="1">
        <v>55</v>
      </c>
      <c r="BY63" s="33">
        <v>32.5</v>
      </c>
      <c r="BZ63" s="33">
        <v>43</v>
      </c>
      <c r="CA63" s="33">
        <v>13.333333333333334</v>
      </c>
      <c r="CB63" s="33">
        <v>42.5</v>
      </c>
      <c r="CC63" s="33">
        <v>60</v>
      </c>
      <c r="CD63" s="33">
        <v>41.25</v>
      </c>
      <c r="CE63" s="1">
        <v>3</v>
      </c>
      <c r="CF63" s="33">
        <v>2</v>
      </c>
      <c r="CG63" s="1">
        <v>40</v>
      </c>
      <c r="CH63" s="1">
        <v>88</v>
      </c>
      <c r="CM63" s="30">
        <v>-45090</v>
      </c>
      <c r="CU63" s="33">
        <v>0</v>
      </c>
      <c r="DK63" s="33">
        <v>0</v>
      </c>
      <c r="DL63" s="33" t="e">
        <v>#DIV/0!</v>
      </c>
      <c r="DM63" s="33" t="e">
        <v>#DIV/0!</v>
      </c>
      <c r="DN63" s="33" t="e">
        <v>#DIV/0!</v>
      </c>
      <c r="DO63" s="33" t="e">
        <v>#DIV/0!</v>
      </c>
      <c r="DP63" s="33" t="e">
        <v>#DIV/0!</v>
      </c>
      <c r="DR63" s="33" t="e">
        <v>#DIV/0!</v>
      </c>
      <c r="EA63" s="33">
        <v>0</v>
      </c>
      <c r="EQ63" s="33">
        <v>0</v>
      </c>
      <c r="ER63" s="33" t="e">
        <v>#DIV/0!</v>
      </c>
      <c r="ES63" s="33" t="e">
        <v>#DIV/0!</v>
      </c>
      <c r="ET63" s="33" t="e">
        <v>#DIV/0!</v>
      </c>
      <c r="EU63" s="33" t="e">
        <v>#DIV/0!</v>
      </c>
      <c r="EV63" s="33" t="e">
        <v>#DIV/0!</v>
      </c>
      <c r="EX63" s="33" t="e">
        <v>#DIV/0!</v>
      </c>
      <c r="FD63" s="10">
        <v>45315</v>
      </c>
      <c r="FE63" s="30">
        <v>225</v>
      </c>
      <c r="FG63" s="1">
        <v>45</v>
      </c>
      <c r="FH63" s="1" t="s">
        <v>544</v>
      </c>
      <c r="FI63" s="1" t="s">
        <v>543</v>
      </c>
      <c r="FJ63" s="1" t="s">
        <v>543</v>
      </c>
      <c r="FK63" s="1" t="s">
        <v>543</v>
      </c>
      <c r="FL63" s="1" t="s">
        <v>543</v>
      </c>
      <c r="FM63" s="33" t="e">
        <v>#VALUE!</v>
      </c>
      <c r="FN63" s="1" t="s">
        <v>543</v>
      </c>
      <c r="FO63" s="1" t="s">
        <v>565</v>
      </c>
      <c r="FP63" s="1" t="s">
        <v>551</v>
      </c>
      <c r="FQ63" s="1" t="s">
        <v>546</v>
      </c>
      <c r="FR63" s="1" t="s">
        <v>546</v>
      </c>
      <c r="FS63" s="1" t="s">
        <v>546</v>
      </c>
      <c r="FT63" s="1" t="s">
        <v>546</v>
      </c>
      <c r="FU63" s="1" t="s">
        <v>545</v>
      </c>
      <c r="GC63" s="33" t="e">
        <v>#VALUE!</v>
      </c>
      <c r="GD63" s="33" t="e">
        <v>#DIV/0!</v>
      </c>
      <c r="GE63" s="33" t="e">
        <v>#DIV/0!</v>
      </c>
      <c r="GF63" s="33" t="e">
        <v>#DIV/0!</v>
      </c>
      <c r="GG63" s="33" t="e">
        <v>#DIV/0!</v>
      </c>
      <c r="GH63" s="33" t="e">
        <v>#DIV/0!</v>
      </c>
      <c r="GI63" s="1">
        <v>6</v>
      </c>
      <c r="GJ63" s="33" t="e">
        <v>#DIV/0!</v>
      </c>
      <c r="GL63" s="1">
        <v>0</v>
      </c>
      <c r="GM63" s="1">
        <v>15</v>
      </c>
      <c r="GN63" s="1">
        <v>15</v>
      </c>
      <c r="GO63" s="1">
        <v>35</v>
      </c>
      <c r="GP63" s="1">
        <v>60</v>
      </c>
      <c r="GQ63" s="1">
        <v>65</v>
      </c>
      <c r="GR63" s="1">
        <v>65</v>
      </c>
      <c r="GS63" s="30">
        <v>36.25</v>
      </c>
      <c r="GT63" s="1">
        <v>20</v>
      </c>
      <c r="GU63" s="1">
        <v>15</v>
      </c>
      <c r="GV63" s="1">
        <v>15</v>
      </c>
      <c r="GW63" s="1">
        <v>35</v>
      </c>
      <c r="GX63" s="1">
        <v>60</v>
      </c>
      <c r="GY63" s="1">
        <v>65</v>
      </c>
      <c r="GZ63" s="1">
        <v>65</v>
      </c>
      <c r="HA63" s="1">
        <v>55</v>
      </c>
      <c r="HI63" s="30">
        <v>36.25</v>
      </c>
      <c r="HJ63" s="30">
        <v>46</v>
      </c>
      <c r="HK63" s="30">
        <v>16.666666666666668</v>
      </c>
      <c r="HL63" s="30">
        <v>47.5</v>
      </c>
      <c r="HM63" s="30">
        <v>61.666666666666664</v>
      </c>
      <c r="HN63" s="30">
        <v>43.75</v>
      </c>
      <c r="HO63" s="1">
        <v>3</v>
      </c>
      <c r="HP63" s="30">
        <v>2</v>
      </c>
      <c r="HQ63" s="1">
        <v>35</v>
      </c>
      <c r="HR63" s="1">
        <v>92</v>
      </c>
      <c r="HV63" s="10"/>
      <c r="HW63" s="30">
        <v>-45090</v>
      </c>
      <c r="IE63" s="30">
        <v>0</v>
      </c>
      <c r="IU63" s="30">
        <v>0</v>
      </c>
      <c r="IV63" s="30" t="e">
        <v>#DIV/0!</v>
      </c>
      <c r="IW63" s="30" t="e">
        <v>#DIV/0!</v>
      </c>
      <c r="IX63" s="30" t="e">
        <v>#DIV/0!</v>
      </c>
      <c r="IY63" s="30" t="e">
        <v>#DIV/0!</v>
      </c>
      <c r="IZ63" s="30" t="e">
        <v>#DIV/0!</v>
      </c>
      <c r="JB63" s="30" t="e">
        <v>#DIV/0!</v>
      </c>
      <c r="JK63" s="30">
        <v>0</v>
      </c>
      <c r="KA63" s="30">
        <v>0</v>
      </c>
      <c r="KB63" s="30" t="e">
        <v>#DIV/0!</v>
      </c>
      <c r="KC63" s="30" t="e">
        <v>#DIV/0!</v>
      </c>
      <c r="KD63" s="30" t="e">
        <v>#DIV/0!</v>
      </c>
      <c r="KE63" s="30" t="e">
        <v>#DIV/0!</v>
      </c>
      <c r="KF63" s="30" t="e">
        <v>#DIV/0!</v>
      </c>
      <c r="KH63" s="30" t="e">
        <v>#DIV/0!</v>
      </c>
    </row>
    <row r="64" spans="1:299" s="1" customFormat="1" ht="33">
      <c r="A64" s="8" t="s">
        <v>654</v>
      </c>
      <c r="B64" s="1">
        <v>42</v>
      </c>
      <c r="C64" s="20">
        <v>40</v>
      </c>
      <c r="D64" s="1">
        <v>1</v>
      </c>
      <c r="E64" s="1" t="s">
        <v>588</v>
      </c>
      <c r="F64" s="1">
        <v>21086</v>
      </c>
      <c r="G64" s="12" t="s">
        <v>34</v>
      </c>
      <c r="H64" s="12" t="s">
        <v>35</v>
      </c>
      <c r="I64" s="12" t="s">
        <v>22</v>
      </c>
      <c r="J64" s="13">
        <v>45099</v>
      </c>
      <c r="K64" s="30" t="s">
        <v>661</v>
      </c>
      <c r="L64" s="30" t="s">
        <v>662</v>
      </c>
      <c r="M64" s="14" t="s">
        <v>137</v>
      </c>
      <c r="N64" s="12" t="s">
        <v>148</v>
      </c>
      <c r="O64" s="1">
        <v>0</v>
      </c>
      <c r="T64" s="32">
        <v>45098</v>
      </c>
      <c r="U64" s="30">
        <v>-1</v>
      </c>
      <c r="V64" s="30"/>
      <c r="W64" s="30">
        <v>15</v>
      </c>
      <c r="X64" s="30">
        <v>45</v>
      </c>
      <c r="Y64" s="30">
        <v>15</v>
      </c>
      <c r="Z64" s="30">
        <v>30</v>
      </c>
      <c r="AA64" s="30">
        <v>15</v>
      </c>
      <c r="AB64" s="30">
        <v>20</v>
      </c>
      <c r="AC64" s="33">
        <v>26.25</v>
      </c>
      <c r="AD64" s="30">
        <v>45</v>
      </c>
      <c r="AE64" s="30">
        <v>35</v>
      </c>
      <c r="AF64" s="30">
        <v>50</v>
      </c>
      <c r="AG64" s="30">
        <v>45</v>
      </c>
      <c r="AH64" s="30">
        <v>30</v>
      </c>
      <c r="AI64" s="30">
        <v>15</v>
      </c>
      <c r="AJ64" s="30">
        <v>25</v>
      </c>
      <c r="AK64" s="30">
        <v>70</v>
      </c>
      <c r="AL64" s="31" t="s">
        <v>234</v>
      </c>
      <c r="AM64" s="31" t="s">
        <v>234</v>
      </c>
      <c r="AN64" s="31" t="s">
        <v>234</v>
      </c>
      <c r="AO64" s="31" t="s">
        <v>234</v>
      </c>
      <c r="AP64" s="31" t="s">
        <v>234</v>
      </c>
      <c r="AQ64" s="31" t="s">
        <v>234</v>
      </c>
      <c r="AR64" s="31" t="s">
        <v>234</v>
      </c>
      <c r="AS64" s="33">
        <v>42.5</v>
      </c>
      <c r="AT64" s="33">
        <v>44</v>
      </c>
      <c r="AU64" s="33">
        <v>43.333333333333336</v>
      </c>
      <c r="AV64" s="33">
        <v>37.5</v>
      </c>
      <c r="AW64" s="33">
        <v>36.666666666666664</v>
      </c>
      <c r="AX64" s="33">
        <v>35</v>
      </c>
      <c r="AY64" s="34" t="s">
        <v>235</v>
      </c>
      <c r="AZ64" s="33">
        <v>1</v>
      </c>
      <c r="BA64" s="30">
        <v>35</v>
      </c>
      <c r="BB64" s="30">
        <v>100</v>
      </c>
      <c r="BC64" s="30">
        <v>10</v>
      </c>
      <c r="BD64" s="30">
        <v>20</v>
      </c>
      <c r="BE64" s="30">
        <v>25</v>
      </c>
      <c r="BF64" s="30">
        <v>10</v>
      </c>
      <c r="BG64" s="30">
        <v>15</v>
      </c>
      <c r="BH64" s="30">
        <v>25</v>
      </c>
      <c r="BI64" s="33">
        <v>20</v>
      </c>
      <c r="BJ64" s="30">
        <v>25</v>
      </c>
      <c r="BK64" s="30">
        <v>20</v>
      </c>
      <c r="BL64" s="30">
        <v>20</v>
      </c>
      <c r="BM64" s="30">
        <v>25</v>
      </c>
      <c r="BN64" s="30">
        <v>10</v>
      </c>
      <c r="BO64" s="30">
        <v>15</v>
      </c>
      <c r="BP64" s="30">
        <v>25</v>
      </c>
      <c r="BQ64" s="30">
        <v>55</v>
      </c>
      <c r="BR64" s="31" t="s">
        <v>234</v>
      </c>
      <c r="BS64" s="31" t="s">
        <v>234</v>
      </c>
      <c r="BT64" s="31" t="s">
        <v>234</v>
      </c>
      <c r="BU64" s="31" t="s">
        <v>234</v>
      </c>
      <c r="BV64" s="31" t="s">
        <v>234</v>
      </c>
      <c r="BW64" s="31" t="s">
        <v>234</v>
      </c>
      <c r="BX64" s="31" t="s">
        <v>234</v>
      </c>
      <c r="BY64" s="33">
        <v>20</v>
      </c>
      <c r="BZ64" s="33">
        <v>27</v>
      </c>
      <c r="CA64" s="33">
        <v>21.666666666666668</v>
      </c>
      <c r="CB64" s="33">
        <v>17.5</v>
      </c>
      <c r="CC64" s="33">
        <v>31.666666666666668</v>
      </c>
      <c r="CD64" s="33">
        <v>17.5</v>
      </c>
      <c r="CE64" s="30" t="s">
        <v>235</v>
      </c>
      <c r="CF64" s="33">
        <v>0</v>
      </c>
      <c r="CG64" s="30">
        <v>200</v>
      </c>
      <c r="CH64" s="30">
        <v>100</v>
      </c>
      <c r="CI64" s="30" t="s">
        <v>521</v>
      </c>
      <c r="CJ64" s="30" t="s">
        <v>522</v>
      </c>
      <c r="CK64" s="30"/>
      <c r="CL64" s="32">
        <v>45209</v>
      </c>
      <c r="CM64" s="30">
        <v>110</v>
      </c>
      <c r="CN64" s="30"/>
      <c r="CO64" s="30">
        <v>15</v>
      </c>
      <c r="CP64" s="30">
        <v>45</v>
      </c>
      <c r="CQ64" s="30">
        <v>5</v>
      </c>
      <c r="CR64" s="30">
        <v>25</v>
      </c>
      <c r="CS64" s="30">
        <v>20</v>
      </c>
      <c r="CT64" s="30">
        <v>20</v>
      </c>
      <c r="CU64" s="33">
        <v>20</v>
      </c>
      <c r="CV64" s="30">
        <v>35</v>
      </c>
      <c r="CW64" s="30">
        <v>25</v>
      </c>
      <c r="CX64" s="30">
        <v>45</v>
      </c>
      <c r="CY64" s="30">
        <v>25</v>
      </c>
      <c r="CZ64" s="30">
        <v>25</v>
      </c>
      <c r="DA64" s="30">
        <v>20</v>
      </c>
      <c r="DB64" s="30">
        <v>30</v>
      </c>
      <c r="DC64" s="30">
        <v>50</v>
      </c>
      <c r="DD64" s="30" t="s">
        <v>277</v>
      </c>
      <c r="DE64" s="30" t="s">
        <v>277</v>
      </c>
      <c r="DF64" s="30" t="s">
        <v>277</v>
      </c>
      <c r="DG64" s="30" t="s">
        <v>277</v>
      </c>
      <c r="DH64" s="30" t="s">
        <v>277</v>
      </c>
      <c r="DI64" s="30" t="s">
        <v>277</v>
      </c>
      <c r="DJ64" s="30" t="s">
        <v>277</v>
      </c>
      <c r="DK64" s="33">
        <v>30</v>
      </c>
      <c r="DL64" s="33">
        <v>35</v>
      </c>
      <c r="DM64" s="33">
        <v>35</v>
      </c>
      <c r="DN64" s="33">
        <v>25</v>
      </c>
      <c r="DO64" s="33">
        <v>33.333333333333336</v>
      </c>
      <c r="DP64" s="33">
        <v>28.75</v>
      </c>
      <c r="DQ64" s="30">
        <v>6</v>
      </c>
      <c r="DR64" s="33">
        <v>1</v>
      </c>
      <c r="DS64" s="30">
        <v>30</v>
      </c>
      <c r="DT64" s="30">
        <v>100</v>
      </c>
      <c r="DU64" s="30">
        <v>10</v>
      </c>
      <c r="DV64" s="30">
        <v>15</v>
      </c>
      <c r="DW64" s="30">
        <v>10</v>
      </c>
      <c r="DX64" s="30">
        <v>0</v>
      </c>
      <c r="DY64" s="30">
        <v>15</v>
      </c>
      <c r="DZ64" s="30">
        <v>15</v>
      </c>
      <c r="EA64" s="33">
        <v>8.75</v>
      </c>
      <c r="EB64" s="30">
        <v>40</v>
      </c>
      <c r="EC64" s="30">
        <v>25</v>
      </c>
      <c r="ED64" s="30">
        <v>15</v>
      </c>
      <c r="EE64" s="30">
        <v>10</v>
      </c>
      <c r="EF64" s="30">
        <v>0</v>
      </c>
      <c r="EG64" s="30">
        <v>15</v>
      </c>
      <c r="EH64" s="30">
        <v>20</v>
      </c>
      <c r="EI64" s="30">
        <v>45</v>
      </c>
      <c r="EJ64" s="30" t="s">
        <v>277</v>
      </c>
      <c r="EK64" s="30" t="s">
        <v>277</v>
      </c>
      <c r="EL64" s="30" t="s">
        <v>277</v>
      </c>
      <c r="EM64" s="30" t="s">
        <v>277</v>
      </c>
      <c r="EN64" s="30" t="s">
        <v>277</v>
      </c>
      <c r="EO64" s="30" t="s">
        <v>277</v>
      </c>
      <c r="EP64" s="30" t="s">
        <v>277</v>
      </c>
      <c r="EQ64" s="33">
        <v>8.75</v>
      </c>
      <c r="ER64" s="33">
        <v>18</v>
      </c>
      <c r="ES64" s="33">
        <v>26.666666666666668</v>
      </c>
      <c r="ET64" s="33">
        <v>5</v>
      </c>
      <c r="EU64" s="33">
        <v>26.666666666666668</v>
      </c>
      <c r="EV64" s="33">
        <v>10</v>
      </c>
      <c r="EW64" s="30" t="s">
        <v>235</v>
      </c>
      <c r="EX64" s="33">
        <v>0</v>
      </c>
      <c r="EY64" s="30">
        <v>15</v>
      </c>
      <c r="EZ64" s="30">
        <v>100</v>
      </c>
      <c r="FA64" s="30" t="s">
        <v>523</v>
      </c>
      <c r="FB64" s="30" t="s">
        <v>524</v>
      </c>
      <c r="FC64" s="30"/>
      <c r="FD64" s="32">
        <v>45301</v>
      </c>
      <c r="FE64" s="30">
        <v>202</v>
      </c>
      <c r="FF64" s="30"/>
      <c r="FG64" s="30">
        <v>20</v>
      </c>
      <c r="FH64" s="30">
        <v>45</v>
      </c>
      <c r="FI64" s="30">
        <v>15</v>
      </c>
      <c r="FJ64" s="30">
        <v>20</v>
      </c>
      <c r="FK64" s="30">
        <v>15</v>
      </c>
      <c r="FL64" s="30">
        <v>20</v>
      </c>
      <c r="FM64" s="33">
        <v>23.75</v>
      </c>
      <c r="FN64" s="30">
        <v>35</v>
      </c>
      <c r="FO64" s="30">
        <v>25</v>
      </c>
      <c r="FP64" s="30">
        <v>45</v>
      </c>
      <c r="FQ64" s="30">
        <v>35</v>
      </c>
      <c r="FR64" s="30">
        <v>25</v>
      </c>
      <c r="FS64" s="30">
        <v>20</v>
      </c>
      <c r="FT64" s="30">
        <v>25</v>
      </c>
      <c r="FU64" s="30">
        <v>50</v>
      </c>
      <c r="FV64" s="30" t="s">
        <v>234</v>
      </c>
      <c r="FW64" s="30" t="s">
        <v>234</v>
      </c>
      <c r="FX64" s="30" t="s">
        <v>234</v>
      </c>
      <c r="FY64" s="30" t="s">
        <v>234</v>
      </c>
      <c r="FZ64" s="30" t="s">
        <v>234</v>
      </c>
      <c r="GA64" s="30" t="s">
        <v>234</v>
      </c>
      <c r="GB64" s="30" t="s">
        <v>234</v>
      </c>
      <c r="GC64" s="33">
        <v>35</v>
      </c>
      <c r="GD64" s="33">
        <v>36</v>
      </c>
      <c r="GE64" s="33">
        <v>35</v>
      </c>
      <c r="GF64" s="33">
        <v>30</v>
      </c>
      <c r="GG64" s="33">
        <v>31.666666666666668</v>
      </c>
      <c r="GH64" s="33">
        <v>31.25</v>
      </c>
      <c r="GI64" s="30">
        <v>6</v>
      </c>
      <c r="GJ64" s="33">
        <v>1</v>
      </c>
      <c r="GK64" s="30">
        <v>30</v>
      </c>
      <c r="GL64" s="30">
        <v>100</v>
      </c>
      <c r="GM64" s="30">
        <v>15</v>
      </c>
      <c r="GN64" s="30">
        <v>15</v>
      </c>
      <c r="GO64" s="30">
        <v>10</v>
      </c>
      <c r="GP64" s="30">
        <v>5</v>
      </c>
      <c r="GQ64" s="30">
        <v>10</v>
      </c>
      <c r="GR64" s="30">
        <v>20</v>
      </c>
      <c r="GS64" s="30">
        <v>10</v>
      </c>
      <c r="GT64" s="30">
        <v>35</v>
      </c>
      <c r="GU64" s="30">
        <v>20</v>
      </c>
      <c r="GV64" s="30">
        <v>15</v>
      </c>
      <c r="GW64" s="30">
        <v>10</v>
      </c>
      <c r="GX64" s="30">
        <v>5</v>
      </c>
      <c r="GY64" s="30">
        <v>10</v>
      </c>
      <c r="GZ64" s="30">
        <v>25</v>
      </c>
      <c r="HA64" s="30">
        <v>50</v>
      </c>
      <c r="HB64" s="30" t="s">
        <v>277</v>
      </c>
      <c r="HC64" s="30" t="s">
        <v>277</v>
      </c>
      <c r="HD64" s="30" t="s">
        <v>277</v>
      </c>
      <c r="HE64" s="30" t="s">
        <v>277</v>
      </c>
      <c r="HF64" s="30" t="s">
        <v>277</v>
      </c>
      <c r="HG64" s="30" t="s">
        <v>277</v>
      </c>
      <c r="HH64" s="30" t="s">
        <v>277</v>
      </c>
      <c r="HI64" s="30">
        <v>10</v>
      </c>
      <c r="HJ64" s="30">
        <v>21</v>
      </c>
      <c r="HK64" s="30">
        <v>23.333333333333332</v>
      </c>
      <c r="HL64" s="30">
        <v>7.5</v>
      </c>
      <c r="HM64" s="30">
        <v>28.333333333333332</v>
      </c>
      <c r="HN64" s="30">
        <v>10</v>
      </c>
      <c r="HO64" s="30" t="s">
        <v>235</v>
      </c>
      <c r="HP64" s="30">
        <v>0</v>
      </c>
      <c r="HQ64" s="30">
        <v>10</v>
      </c>
      <c r="HR64" s="30">
        <v>100</v>
      </c>
      <c r="HS64" s="30"/>
      <c r="HT64" s="30"/>
      <c r="HU64" s="30" t="s">
        <v>525</v>
      </c>
      <c r="HV64" s="32">
        <v>45467</v>
      </c>
      <c r="HW64" s="30">
        <v>368</v>
      </c>
      <c r="HX64" s="30"/>
      <c r="HY64" s="30">
        <v>15</v>
      </c>
      <c r="HZ64" s="30">
        <v>45</v>
      </c>
      <c r="IA64" s="30">
        <v>25</v>
      </c>
      <c r="IB64" s="30">
        <v>20</v>
      </c>
      <c r="IC64" s="30">
        <v>20</v>
      </c>
      <c r="ID64" s="30">
        <v>35</v>
      </c>
      <c r="IE64" s="30">
        <v>28.75</v>
      </c>
      <c r="IF64" s="30">
        <v>45</v>
      </c>
      <c r="IG64" s="30">
        <v>35</v>
      </c>
      <c r="IH64" s="30">
        <v>50</v>
      </c>
      <c r="II64" s="30">
        <v>40</v>
      </c>
      <c r="IJ64" s="30">
        <v>20</v>
      </c>
      <c r="IK64" s="30">
        <v>20</v>
      </c>
      <c r="IL64" s="30">
        <v>35</v>
      </c>
      <c r="IM64" s="30">
        <v>45</v>
      </c>
      <c r="IN64" s="30"/>
      <c r="IO64" s="30"/>
      <c r="IP64" s="30"/>
      <c r="IQ64" s="30"/>
      <c r="IR64" s="30"/>
      <c r="IS64" s="30"/>
      <c r="IT64" s="30"/>
      <c r="IU64" s="30">
        <v>37.5</v>
      </c>
      <c r="IV64" s="30">
        <v>38</v>
      </c>
      <c r="IW64" s="30">
        <v>43.333333333333336</v>
      </c>
      <c r="IX64" s="30">
        <v>30</v>
      </c>
      <c r="IY64" s="30">
        <v>33.333333333333336</v>
      </c>
      <c r="IZ64" s="30">
        <v>32.5</v>
      </c>
      <c r="JA64" s="30">
        <v>6</v>
      </c>
      <c r="JB64" s="30">
        <v>1</v>
      </c>
      <c r="JC64" s="30">
        <v>30</v>
      </c>
      <c r="JD64" s="30">
        <v>100</v>
      </c>
      <c r="JE64" s="30">
        <v>10</v>
      </c>
      <c r="JF64" s="30">
        <v>10</v>
      </c>
      <c r="JG64" s="30">
        <v>25</v>
      </c>
      <c r="JH64" s="30">
        <v>10</v>
      </c>
      <c r="JI64" s="30">
        <v>15</v>
      </c>
      <c r="JJ64" s="30">
        <v>25</v>
      </c>
      <c r="JK64" s="30">
        <v>17.5</v>
      </c>
      <c r="JL64" s="30">
        <v>30</v>
      </c>
      <c r="JM64" s="30">
        <v>25</v>
      </c>
      <c r="JN64" s="30">
        <v>20</v>
      </c>
      <c r="JO64" s="30">
        <v>30</v>
      </c>
      <c r="JP64" s="30">
        <v>10</v>
      </c>
      <c r="JQ64" s="30">
        <v>15</v>
      </c>
      <c r="JR64" s="30">
        <v>25</v>
      </c>
      <c r="JS64" s="30">
        <v>60</v>
      </c>
      <c r="JT64" s="30"/>
      <c r="JU64" s="30"/>
      <c r="JV64" s="30"/>
      <c r="JW64" s="30"/>
      <c r="JX64" s="30"/>
      <c r="JY64" s="30"/>
      <c r="JZ64" s="30"/>
      <c r="KA64" s="30">
        <v>22.5</v>
      </c>
      <c r="KB64" s="30">
        <v>29</v>
      </c>
      <c r="KC64" s="30">
        <v>25</v>
      </c>
      <c r="KD64" s="30">
        <v>20</v>
      </c>
      <c r="KE64" s="30">
        <v>33.333333333333336</v>
      </c>
      <c r="KF64" s="30">
        <v>18.75</v>
      </c>
      <c r="KG64" s="30">
        <v>6</v>
      </c>
      <c r="KH64" s="30">
        <v>0</v>
      </c>
      <c r="KI64" s="30">
        <v>25</v>
      </c>
      <c r="KJ64" s="30">
        <v>100</v>
      </c>
      <c r="KK64" s="30"/>
      <c r="KL64" s="30"/>
      <c r="KM64" s="30"/>
    </row>
    <row r="65" spans="1:299" s="1" customFormat="1">
      <c r="A65" s="8" t="s">
        <v>655</v>
      </c>
      <c r="B65" s="1">
        <v>64</v>
      </c>
      <c r="C65" s="20">
        <v>60</v>
      </c>
      <c r="D65" s="1">
        <v>2</v>
      </c>
      <c r="E65" s="1" t="s">
        <v>591</v>
      </c>
      <c r="F65" s="1">
        <v>21085</v>
      </c>
      <c r="G65" s="12" t="s">
        <v>89</v>
      </c>
      <c r="H65" s="12" t="s">
        <v>90</v>
      </c>
      <c r="I65" s="12" t="s">
        <v>22</v>
      </c>
      <c r="J65" s="10">
        <v>44733</v>
      </c>
      <c r="K65" s="30" t="s">
        <v>711</v>
      </c>
      <c r="L65" s="30" t="s">
        <v>712</v>
      </c>
      <c r="M65" s="12" t="s">
        <v>166</v>
      </c>
      <c r="N65" s="12" t="s">
        <v>114</v>
      </c>
      <c r="T65" s="35">
        <v>44732</v>
      </c>
      <c r="U65" s="30">
        <v>-1</v>
      </c>
      <c r="V65" s="30" t="s">
        <v>576</v>
      </c>
      <c r="W65" s="47">
        <v>55</v>
      </c>
      <c r="X65" s="47">
        <v>80</v>
      </c>
      <c r="Y65" s="47">
        <v>85</v>
      </c>
      <c r="Z65" s="47">
        <v>85</v>
      </c>
      <c r="AA65" s="47">
        <v>85</v>
      </c>
      <c r="AB65" s="47">
        <v>80</v>
      </c>
      <c r="AC65" s="33">
        <v>83.75</v>
      </c>
      <c r="AD65" s="47">
        <v>90</v>
      </c>
      <c r="AE65" s="47">
        <v>110</v>
      </c>
      <c r="AF65" s="47">
        <v>125</v>
      </c>
      <c r="AG65" s="47">
        <v>125</v>
      </c>
      <c r="AH65" s="47">
        <v>125</v>
      </c>
      <c r="AI65" s="47">
        <v>125</v>
      </c>
      <c r="AJ65" s="47">
        <v>125</v>
      </c>
      <c r="AK65" s="47">
        <v>110</v>
      </c>
      <c r="AL65" s="31" t="s">
        <v>234</v>
      </c>
      <c r="AM65" s="31" t="s">
        <v>234</v>
      </c>
      <c r="AN65" s="31" t="s">
        <v>234</v>
      </c>
      <c r="AO65" s="31" t="s">
        <v>234</v>
      </c>
      <c r="AP65" s="31" t="s">
        <v>234</v>
      </c>
      <c r="AQ65" s="31" t="s">
        <v>234</v>
      </c>
      <c r="AR65" s="31" t="s">
        <v>234</v>
      </c>
      <c r="AS65" s="33">
        <v>125</v>
      </c>
      <c r="AT65" s="33">
        <v>122</v>
      </c>
      <c r="AU65" s="33">
        <v>108.33333333333333</v>
      </c>
      <c r="AV65" s="33">
        <v>125</v>
      </c>
      <c r="AW65" s="33">
        <v>120</v>
      </c>
      <c r="AX65" s="33">
        <v>125</v>
      </c>
      <c r="AY65" s="34">
        <v>5</v>
      </c>
      <c r="AZ65" s="33">
        <v>5</v>
      </c>
      <c r="BA65" s="31" t="s">
        <v>370</v>
      </c>
      <c r="BB65" s="30">
        <v>0</v>
      </c>
      <c r="BC65" s="30">
        <v>15</v>
      </c>
      <c r="BD65" s="30">
        <v>10</v>
      </c>
      <c r="BE65" s="30">
        <v>15</v>
      </c>
      <c r="BF65" s="30">
        <v>35</v>
      </c>
      <c r="BG65" s="30">
        <v>30</v>
      </c>
      <c r="BH65" s="30">
        <v>20</v>
      </c>
      <c r="BI65" s="33">
        <v>18.75</v>
      </c>
      <c r="BJ65" s="30">
        <v>25</v>
      </c>
      <c r="BK65" s="30">
        <v>20</v>
      </c>
      <c r="BL65" s="30">
        <v>10</v>
      </c>
      <c r="BM65" s="30">
        <v>15</v>
      </c>
      <c r="BN65" s="30">
        <v>35</v>
      </c>
      <c r="BO65" s="30">
        <v>30</v>
      </c>
      <c r="BP65" s="30">
        <v>25</v>
      </c>
      <c r="BQ65" s="30">
        <v>45</v>
      </c>
      <c r="BR65" s="31" t="s">
        <v>234</v>
      </c>
      <c r="BS65" s="31" t="s">
        <v>234</v>
      </c>
      <c r="BT65" s="31" t="s">
        <v>234</v>
      </c>
      <c r="BU65" s="31" t="s">
        <v>234</v>
      </c>
      <c r="BV65" s="31" t="s">
        <v>234</v>
      </c>
      <c r="BW65" s="31" t="s">
        <v>234</v>
      </c>
      <c r="BX65" s="31" t="s">
        <v>234</v>
      </c>
      <c r="BY65" s="33">
        <v>18.75</v>
      </c>
      <c r="BZ65" s="33">
        <v>26</v>
      </c>
      <c r="CA65" s="33">
        <v>18.333333333333332</v>
      </c>
      <c r="CB65" s="33">
        <v>25</v>
      </c>
      <c r="CC65" s="33">
        <v>33.333333333333336</v>
      </c>
      <c r="CD65" s="33">
        <v>22.5</v>
      </c>
      <c r="CE65" s="30">
        <v>3</v>
      </c>
      <c r="CF65" s="33">
        <v>1</v>
      </c>
      <c r="CG65" s="30">
        <v>20</v>
      </c>
      <c r="CH65" s="30">
        <v>100</v>
      </c>
      <c r="CI65" s="31" t="s">
        <v>526</v>
      </c>
      <c r="CJ65" s="30" t="s">
        <v>527</v>
      </c>
      <c r="CK65" s="30"/>
      <c r="CL65" s="45"/>
      <c r="CM65" s="30">
        <v>-44733</v>
      </c>
      <c r="CN65" s="30"/>
      <c r="CO65" s="30"/>
      <c r="CP65" s="30"/>
      <c r="CQ65" s="30"/>
      <c r="CR65" s="30"/>
      <c r="CS65" s="30"/>
      <c r="CT65" s="30"/>
      <c r="CU65" s="33">
        <v>0</v>
      </c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3">
        <v>0</v>
      </c>
      <c r="DL65" s="33" t="e">
        <v>#DIV/0!</v>
      </c>
      <c r="DM65" s="33" t="e">
        <v>#DIV/0!</v>
      </c>
      <c r="DN65" s="33" t="e">
        <v>#DIV/0!</v>
      </c>
      <c r="DO65" s="33" t="e">
        <v>#DIV/0!</v>
      </c>
      <c r="DP65" s="33" t="e">
        <v>#DIV/0!</v>
      </c>
      <c r="DQ65" s="30" t="e">
        <v>#DIV/0!</v>
      </c>
      <c r="DR65" s="33" t="e">
        <v>#DIV/0!</v>
      </c>
      <c r="DS65" s="30"/>
      <c r="DT65" s="30"/>
      <c r="DU65" s="30"/>
      <c r="DV65" s="30"/>
      <c r="DW65" s="30"/>
      <c r="DX65" s="30"/>
      <c r="DY65" s="30"/>
      <c r="DZ65" s="30"/>
      <c r="EA65" s="33">
        <v>0</v>
      </c>
      <c r="EB65" s="30"/>
      <c r="EC65" s="30"/>
      <c r="ED65" s="30"/>
      <c r="EE65" s="30"/>
      <c r="EF65" s="30"/>
      <c r="EG65" s="30"/>
      <c r="EH65" s="30"/>
      <c r="EI65" s="30"/>
      <c r="EJ65" s="30" t="s">
        <v>277</v>
      </c>
      <c r="EK65" s="30" t="s">
        <v>277</v>
      </c>
      <c r="EL65" s="30" t="s">
        <v>277</v>
      </c>
      <c r="EM65" s="30" t="s">
        <v>277</v>
      </c>
      <c r="EN65" s="30" t="s">
        <v>277</v>
      </c>
      <c r="EO65" s="30" t="s">
        <v>277</v>
      </c>
      <c r="EP65" s="30" t="s">
        <v>277</v>
      </c>
      <c r="EQ65" s="33">
        <v>0</v>
      </c>
      <c r="ER65" s="33" t="e">
        <v>#DIV/0!</v>
      </c>
      <c r="ES65" s="33" t="e">
        <v>#DIV/0!</v>
      </c>
      <c r="ET65" s="33" t="e">
        <v>#DIV/0!</v>
      </c>
      <c r="EU65" s="33" t="e">
        <v>#DIV/0!</v>
      </c>
      <c r="EV65" s="33" t="e">
        <v>#DIV/0!</v>
      </c>
      <c r="EW65" s="30" t="e">
        <v>#DIV/0!</v>
      </c>
      <c r="EX65" s="33" t="e">
        <v>#DIV/0!</v>
      </c>
      <c r="EY65" s="30"/>
      <c r="EZ65" s="30"/>
      <c r="FA65" s="30"/>
      <c r="FB65" s="30"/>
      <c r="FC65" s="30"/>
      <c r="FD65" s="35">
        <v>44928</v>
      </c>
      <c r="FE65" s="30">
        <v>195</v>
      </c>
      <c r="FF65" s="30"/>
      <c r="FG65" s="42">
        <v>55</v>
      </c>
      <c r="FH65" s="42">
        <v>80</v>
      </c>
      <c r="FI65" s="42">
        <v>85</v>
      </c>
      <c r="FJ65" s="42">
        <v>85</v>
      </c>
      <c r="FK65" s="42">
        <v>85</v>
      </c>
      <c r="FL65" s="42">
        <v>85</v>
      </c>
      <c r="FM65" s="33">
        <v>83.75</v>
      </c>
      <c r="FN65" s="42">
        <v>90</v>
      </c>
      <c r="FO65" s="42">
        <v>110</v>
      </c>
      <c r="FP65" s="30">
        <v>120</v>
      </c>
      <c r="FQ65" s="30">
        <v>120</v>
      </c>
      <c r="FR65" s="42">
        <v>125</v>
      </c>
      <c r="FS65" s="42">
        <v>125</v>
      </c>
      <c r="FT65" s="42">
        <v>125</v>
      </c>
      <c r="FU65" s="42">
        <v>110</v>
      </c>
      <c r="FV65" s="30"/>
      <c r="FW65" s="30"/>
      <c r="FX65" s="30"/>
      <c r="FY65" s="30"/>
      <c r="FZ65" s="30"/>
      <c r="GA65" s="30"/>
      <c r="GB65" s="30"/>
      <c r="GC65" s="33">
        <v>121.25</v>
      </c>
      <c r="GD65" s="33">
        <v>120</v>
      </c>
      <c r="GE65" s="33">
        <v>106.66666666666667</v>
      </c>
      <c r="GF65" s="33">
        <v>122.5</v>
      </c>
      <c r="GG65" s="33">
        <v>120</v>
      </c>
      <c r="GH65" s="33">
        <v>122.5</v>
      </c>
      <c r="GI65" s="30">
        <v>5</v>
      </c>
      <c r="GJ65" s="33">
        <v>5</v>
      </c>
      <c r="GK65" s="31" t="s">
        <v>370</v>
      </c>
      <c r="GL65" s="30">
        <v>0</v>
      </c>
      <c r="GM65" s="30">
        <v>15</v>
      </c>
      <c r="GN65" s="30">
        <v>20</v>
      </c>
      <c r="GO65" s="30">
        <v>25</v>
      </c>
      <c r="GP65" s="30">
        <v>45</v>
      </c>
      <c r="GQ65" s="30">
        <v>35</v>
      </c>
      <c r="GR65" s="30">
        <v>25</v>
      </c>
      <c r="GS65" s="30">
        <v>28.75</v>
      </c>
      <c r="GT65" s="30">
        <v>20</v>
      </c>
      <c r="GU65" s="30">
        <v>20</v>
      </c>
      <c r="GV65" s="30">
        <v>20</v>
      </c>
      <c r="GW65" s="30">
        <v>25</v>
      </c>
      <c r="GX65" s="30">
        <v>45</v>
      </c>
      <c r="GY65" s="30">
        <v>35</v>
      </c>
      <c r="GZ65" s="30">
        <v>30</v>
      </c>
      <c r="HA65" s="30">
        <v>70</v>
      </c>
      <c r="HB65" s="30"/>
      <c r="HC65" s="30"/>
      <c r="HD65" s="30"/>
      <c r="HE65" s="30"/>
      <c r="HF65" s="30"/>
      <c r="HG65" s="30"/>
      <c r="HH65" s="30"/>
      <c r="HI65" s="30">
        <v>28.75</v>
      </c>
      <c r="HJ65" s="30">
        <v>38</v>
      </c>
      <c r="HK65" s="30">
        <v>20</v>
      </c>
      <c r="HL65" s="30">
        <v>35</v>
      </c>
      <c r="HM65" s="30">
        <v>45</v>
      </c>
      <c r="HN65" s="30">
        <v>31.25</v>
      </c>
      <c r="HO65" s="30">
        <v>3</v>
      </c>
      <c r="HP65" s="30">
        <v>1</v>
      </c>
      <c r="HQ65" s="30">
        <v>30</v>
      </c>
      <c r="HR65" s="30">
        <v>100</v>
      </c>
      <c r="HS65" s="30" t="s">
        <v>528</v>
      </c>
      <c r="HT65" s="30" t="s">
        <v>529</v>
      </c>
      <c r="HU65" s="30"/>
      <c r="HV65" s="46"/>
      <c r="HW65" s="30">
        <v>-44733</v>
      </c>
      <c r="HX65" s="30"/>
      <c r="HY65" s="30"/>
      <c r="HZ65" s="30"/>
      <c r="IA65" s="30"/>
      <c r="IB65" s="30"/>
      <c r="IC65" s="30"/>
      <c r="ID65" s="30"/>
      <c r="IE65" s="30">
        <v>0</v>
      </c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0"/>
      <c r="IR65" s="30"/>
      <c r="IS65" s="30"/>
      <c r="IT65" s="30"/>
      <c r="IU65" s="30">
        <v>0</v>
      </c>
      <c r="IV65" s="30" t="e">
        <v>#DIV/0!</v>
      </c>
      <c r="IW65" s="30" t="e">
        <v>#DIV/0!</v>
      </c>
      <c r="IX65" s="30" t="e">
        <v>#DIV/0!</v>
      </c>
      <c r="IY65" s="30" t="e">
        <v>#DIV/0!</v>
      </c>
      <c r="IZ65" s="30" t="e">
        <v>#DIV/0!</v>
      </c>
      <c r="JA65" s="30" t="e">
        <v>#DIV/0!</v>
      </c>
      <c r="JB65" s="30" t="e">
        <v>#DIV/0!</v>
      </c>
      <c r="JC65" s="30"/>
      <c r="JD65" s="30"/>
      <c r="JE65" s="30"/>
      <c r="JF65" s="30"/>
      <c r="JG65" s="30"/>
      <c r="JH65" s="30"/>
      <c r="JI65" s="30"/>
      <c r="JJ65" s="30"/>
      <c r="JK65" s="30">
        <v>0</v>
      </c>
      <c r="JL65" s="30"/>
      <c r="JM65" s="30"/>
      <c r="JN65" s="30"/>
      <c r="JO65" s="30"/>
      <c r="JP65" s="30"/>
      <c r="JQ65" s="30"/>
      <c r="JR65" s="30"/>
      <c r="JS65" s="30"/>
      <c r="JT65" s="30" t="s">
        <v>277</v>
      </c>
      <c r="JU65" s="30" t="s">
        <v>277</v>
      </c>
      <c r="JV65" s="30" t="s">
        <v>277</v>
      </c>
      <c r="JW65" s="30" t="s">
        <v>277</v>
      </c>
      <c r="JX65" s="30" t="s">
        <v>277</v>
      </c>
      <c r="JY65" s="30" t="s">
        <v>277</v>
      </c>
      <c r="JZ65" s="30" t="s">
        <v>277</v>
      </c>
      <c r="KA65" s="30">
        <v>0</v>
      </c>
      <c r="KB65" s="30" t="e">
        <v>#DIV/0!</v>
      </c>
      <c r="KC65" s="30" t="e">
        <v>#DIV/0!</v>
      </c>
      <c r="KD65" s="30" t="e">
        <v>#DIV/0!</v>
      </c>
      <c r="KE65" s="30" t="e">
        <v>#DIV/0!</v>
      </c>
      <c r="KF65" s="30" t="e">
        <v>#DIV/0!</v>
      </c>
      <c r="KG65" s="30" t="e">
        <v>#DIV/0!</v>
      </c>
      <c r="KH65" s="30" t="e">
        <v>#DIV/0!</v>
      </c>
      <c r="KI65" s="30"/>
      <c r="KJ65" s="30"/>
      <c r="KK65" s="30"/>
      <c r="KL65" s="30"/>
      <c r="KM65" s="30"/>
    </row>
    <row r="66" spans="1:299" s="1" customFormat="1" ht="66">
      <c r="A66" s="8" t="s">
        <v>656</v>
      </c>
      <c r="B66" s="1">
        <v>51</v>
      </c>
      <c r="C66" s="20">
        <v>50</v>
      </c>
      <c r="D66" s="1">
        <v>2</v>
      </c>
      <c r="E66" s="1" t="s">
        <v>588</v>
      </c>
      <c r="F66" s="1">
        <v>21084</v>
      </c>
      <c r="G66" s="12" t="s">
        <v>50</v>
      </c>
      <c r="H66" s="12" t="s">
        <v>51</v>
      </c>
      <c r="I66" s="12" t="s">
        <v>22</v>
      </c>
      <c r="J66" s="13">
        <v>44972</v>
      </c>
      <c r="K66" s="30" t="s">
        <v>661</v>
      </c>
      <c r="L66" s="30" t="s">
        <v>713</v>
      </c>
      <c r="M66" s="1" t="s">
        <v>114</v>
      </c>
      <c r="N66" s="14" t="s">
        <v>130</v>
      </c>
      <c r="T66" s="32">
        <v>44851</v>
      </c>
      <c r="U66" s="30">
        <v>-121</v>
      </c>
      <c r="V66" s="30"/>
      <c r="W66" s="31" t="s">
        <v>234</v>
      </c>
      <c r="X66" s="31" t="s">
        <v>234</v>
      </c>
      <c r="Y66" s="31" t="s">
        <v>234</v>
      </c>
      <c r="Z66" s="31" t="s">
        <v>234</v>
      </c>
      <c r="AA66" s="31" t="s">
        <v>234</v>
      </c>
      <c r="AB66" s="31" t="s">
        <v>234</v>
      </c>
      <c r="AC66" s="33" t="e">
        <v>#VALUE!</v>
      </c>
      <c r="AD66" s="31">
        <v>20</v>
      </c>
      <c r="AE66" s="30">
        <v>10</v>
      </c>
      <c r="AF66" s="30">
        <v>15</v>
      </c>
      <c r="AG66" s="30">
        <v>10</v>
      </c>
      <c r="AH66" s="30">
        <v>10</v>
      </c>
      <c r="AI66" s="30">
        <v>5</v>
      </c>
      <c r="AJ66" s="30">
        <v>0</v>
      </c>
      <c r="AK66" s="30">
        <v>50</v>
      </c>
      <c r="AL66" s="30">
        <v>50</v>
      </c>
      <c r="AM66" s="30">
        <v>45</v>
      </c>
      <c r="AN66" s="30">
        <v>55</v>
      </c>
      <c r="AO66" s="47">
        <v>65</v>
      </c>
      <c r="AP66" s="47">
        <v>45</v>
      </c>
      <c r="AQ66" s="47">
        <v>20</v>
      </c>
      <c r="AR66" s="43">
        <v>0</v>
      </c>
      <c r="AS66" s="33">
        <v>11.25</v>
      </c>
      <c r="AT66" s="33">
        <v>17</v>
      </c>
      <c r="AU66" s="33">
        <v>15</v>
      </c>
      <c r="AV66" s="33">
        <v>10</v>
      </c>
      <c r="AW66" s="33">
        <v>18.333333333333332</v>
      </c>
      <c r="AX66" s="33">
        <v>10</v>
      </c>
      <c r="AY66" s="34" t="s">
        <v>235</v>
      </c>
      <c r="AZ66" s="33">
        <v>0</v>
      </c>
      <c r="BA66" s="30">
        <v>15</v>
      </c>
      <c r="BB66" s="30">
        <v>100</v>
      </c>
      <c r="BC66" s="30">
        <v>0</v>
      </c>
      <c r="BD66" s="30">
        <v>10</v>
      </c>
      <c r="BE66" s="30">
        <v>10</v>
      </c>
      <c r="BF66" s="30">
        <v>30</v>
      </c>
      <c r="BG66" s="30">
        <v>20</v>
      </c>
      <c r="BH66" s="30">
        <v>30</v>
      </c>
      <c r="BI66" s="33">
        <v>15</v>
      </c>
      <c r="BJ66" s="30">
        <v>50</v>
      </c>
      <c r="BK66" s="30">
        <v>30</v>
      </c>
      <c r="BL66" s="30">
        <v>30</v>
      </c>
      <c r="BM66" s="30">
        <v>40</v>
      </c>
      <c r="BN66" s="30">
        <v>40</v>
      </c>
      <c r="BO66" s="30">
        <v>35</v>
      </c>
      <c r="BP66" s="30">
        <v>45</v>
      </c>
      <c r="BQ66" s="30">
        <v>55</v>
      </c>
      <c r="BR66" s="30">
        <v>60</v>
      </c>
      <c r="BS66" s="47">
        <v>85</v>
      </c>
      <c r="BT66" s="47">
        <v>75</v>
      </c>
      <c r="BU66" s="47">
        <v>65</v>
      </c>
      <c r="BV66" s="47">
        <v>45</v>
      </c>
      <c r="BW66" s="47">
        <v>15</v>
      </c>
      <c r="BX66" s="43">
        <v>0</v>
      </c>
      <c r="BY66" s="33">
        <v>37.5</v>
      </c>
      <c r="BZ66" s="33">
        <v>42</v>
      </c>
      <c r="CA66" s="33">
        <v>36.666666666666664</v>
      </c>
      <c r="CB66" s="33">
        <v>40</v>
      </c>
      <c r="CC66" s="33">
        <v>45</v>
      </c>
      <c r="CD66" s="33">
        <v>36.25</v>
      </c>
      <c r="CE66" s="31" t="s">
        <v>235</v>
      </c>
      <c r="CF66" s="33">
        <v>1</v>
      </c>
      <c r="CG66" s="30">
        <v>45</v>
      </c>
      <c r="CH66" s="30">
        <v>100</v>
      </c>
      <c r="CI66" s="31" t="s">
        <v>530</v>
      </c>
      <c r="CJ66" s="31" t="s">
        <v>531</v>
      </c>
      <c r="CK66" s="30"/>
      <c r="CL66" s="32">
        <v>45055</v>
      </c>
      <c r="CM66" s="30">
        <v>83</v>
      </c>
      <c r="CN66" s="30"/>
      <c r="CO66" s="30">
        <v>10</v>
      </c>
      <c r="CP66" s="30">
        <v>5</v>
      </c>
      <c r="CQ66" s="30">
        <v>10</v>
      </c>
      <c r="CR66" s="30">
        <v>5</v>
      </c>
      <c r="CS66" s="30">
        <v>10</v>
      </c>
      <c r="CT66" s="30">
        <v>5</v>
      </c>
      <c r="CU66" s="33">
        <v>7.5</v>
      </c>
      <c r="CV66" s="30">
        <v>20</v>
      </c>
      <c r="CW66" s="30">
        <v>10</v>
      </c>
      <c r="CX66" s="30">
        <v>5</v>
      </c>
      <c r="CY66" s="30">
        <v>10</v>
      </c>
      <c r="CZ66" s="30">
        <v>5</v>
      </c>
      <c r="DA66" s="30">
        <v>10</v>
      </c>
      <c r="DB66" s="30">
        <v>5</v>
      </c>
      <c r="DC66" s="30">
        <v>55</v>
      </c>
      <c r="DD66" s="30" t="s">
        <v>277</v>
      </c>
      <c r="DE66" s="30" t="s">
        <v>277</v>
      </c>
      <c r="DF66" s="30" t="s">
        <v>277</v>
      </c>
      <c r="DG66" s="30" t="s">
        <v>277</v>
      </c>
      <c r="DH66" s="30" t="s">
        <v>277</v>
      </c>
      <c r="DI66" s="30" t="s">
        <v>277</v>
      </c>
      <c r="DJ66" s="30" t="s">
        <v>277</v>
      </c>
      <c r="DK66" s="33">
        <v>7.5</v>
      </c>
      <c r="DL66" s="33">
        <v>16</v>
      </c>
      <c r="DM66" s="33">
        <v>11.666666666666666</v>
      </c>
      <c r="DN66" s="33">
        <v>7.5</v>
      </c>
      <c r="DO66" s="33">
        <v>23.333333333333332</v>
      </c>
      <c r="DP66" s="33">
        <v>7.5</v>
      </c>
      <c r="DQ66" s="30" t="s">
        <v>235</v>
      </c>
      <c r="DR66" s="33">
        <v>0</v>
      </c>
      <c r="DS66" s="30">
        <v>15</v>
      </c>
      <c r="DT66" s="30">
        <v>100</v>
      </c>
      <c r="DU66" s="30">
        <v>0</v>
      </c>
      <c r="DV66" s="30">
        <v>20</v>
      </c>
      <c r="DW66" s="30">
        <v>0</v>
      </c>
      <c r="DX66" s="30">
        <v>15</v>
      </c>
      <c r="DY66" s="30">
        <v>20</v>
      </c>
      <c r="DZ66" s="30">
        <v>25</v>
      </c>
      <c r="EA66" s="33">
        <v>8.75</v>
      </c>
      <c r="EB66" s="30">
        <v>30</v>
      </c>
      <c r="EC66" s="30">
        <v>25</v>
      </c>
      <c r="ED66" s="30">
        <v>25</v>
      </c>
      <c r="EE66" s="30">
        <v>15</v>
      </c>
      <c r="EF66" s="30">
        <v>15</v>
      </c>
      <c r="EG66" s="30">
        <v>20</v>
      </c>
      <c r="EH66" s="30">
        <v>30</v>
      </c>
      <c r="EI66" s="30">
        <v>35</v>
      </c>
      <c r="EJ66" s="30" t="s">
        <v>277</v>
      </c>
      <c r="EK66" s="30" t="s">
        <v>277</v>
      </c>
      <c r="EL66" s="30" t="s">
        <v>277</v>
      </c>
      <c r="EM66" s="30" t="s">
        <v>277</v>
      </c>
      <c r="EN66" s="30" t="s">
        <v>277</v>
      </c>
      <c r="EO66" s="30" t="s">
        <v>277</v>
      </c>
      <c r="EP66" s="30" t="s">
        <v>277</v>
      </c>
      <c r="EQ66" s="33">
        <v>17.5</v>
      </c>
      <c r="ER66" s="33">
        <v>24</v>
      </c>
      <c r="ES66" s="33">
        <v>26.666666666666668</v>
      </c>
      <c r="ET66" s="33">
        <v>15</v>
      </c>
      <c r="EU66" s="33">
        <v>28.333333333333332</v>
      </c>
      <c r="EV66" s="33">
        <v>18.75</v>
      </c>
      <c r="EW66" s="30" t="s">
        <v>235</v>
      </c>
      <c r="EX66" s="33">
        <v>0</v>
      </c>
      <c r="EY66" s="30">
        <v>25</v>
      </c>
      <c r="EZ66" s="30">
        <v>100</v>
      </c>
      <c r="FA66" s="30" t="s">
        <v>532</v>
      </c>
      <c r="FB66" s="30" t="s">
        <v>533</v>
      </c>
      <c r="FC66" s="30"/>
      <c r="FD66" s="32">
        <v>45167</v>
      </c>
      <c r="FE66" s="30">
        <v>195</v>
      </c>
      <c r="FF66" s="30"/>
      <c r="FG66" s="30">
        <v>5</v>
      </c>
      <c r="FH66" s="30">
        <v>10</v>
      </c>
      <c r="FI66" s="30">
        <v>10</v>
      </c>
      <c r="FJ66" s="30">
        <v>5</v>
      </c>
      <c r="FK66" s="30">
        <v>5</v>
      </c>
      <c r="FL66" s="30">
        <v>10</v>
      </c>
      <c r="FM66" s="33">
        <v>8.75</v>
      </c>
      <c r="FN66" s="30">
        <v>20</v>
      </c>
      <c r="FO66" s="30">
        <v>10</v>
      </c>
      <c r="FP66" s="30">
        <v>10</v>
      </c>
      <c r="FQ66" s="30">
        <v>10</v>
      </c>
      <c r="FR66" s="30">
        <v>5</v>
      </c>
      <c r="FS66" s="30">
        <v>5</v>
      </c>
      <c r="FT66" s="30">
        <v>10</v>
      </c>
      <c r="FU66" s="30">
        <v>50</v>
      </c>
      <c r="FV66" s="30" t="s">
        <v>234</v>
      </c>
      <c r="FW66" s="30" t="s">
        <v>234</v>
      </c>
      <c r="FX66" s="30" t="s">
        <v>234</v>
      </c>
      <c r="FY66" s="30" t="s">
        <v>234</v>
      </c>
      <c r="FZ66" s="30" t="s">
        <v>234</v>
      </c>
      <c r="GA66" s="30" t="s">
        <v>234</v>
      </c>
      <c r="GB66" s="30" t="s">
        <v>234</v>
      </c>
      <c r="GC66" s="33">
        <v>8.75</v>
      </c>
      <c r="GD66" s="33">
        <v>17</v>
      </c>
      <c r="GE66" s="33">
        <v>13.333333333333334</v>
      </c>
      <c r="GF66" s="33">
        <v>7.5</v>
      </c>
      <c r="GG66" s="33">
        <v>21.666666666666668</v>
      </c>
      <c r="GH66" s="33">
        <v>7.5</v>
      </c>
      <c r="GI66" s="30" t="s">
        <v>235</v>
      </c>
      <c r="GJ66" s="33">
        <v>0</v>
      </c>
      <c r="GK66" s="30">
        <v>10</v>
      </c>
      <c r="GL66" s="30">
        <v>100</v>
      </c>
      <c r="GM66" s="30">
        <v>10</v>
      </c>
      <c r="GN66" s="30">
        <v>25</v>
      </c>
      <c r="GO66" s="30">
        <v>0</v>
      </c>
      <c r="GP66" s="30">
        <v>20</v>
      </c>
      <c r="GQ66" s="30">
        <v>20</v>
      </c>
      <c r="GR66" s="30">
        <v>30</v>
      </c>
      <c r="GS66" s="30">
        <v>11.25</v>
      </c>
      <c r="GT66" s="30">
        <v>40</v>
      </c>
      <c r="GU66" s="30">
        <v>35</v>
      </c>
      <c r="GV66" s="30">
        <v>25</v>
      </c>
      <c r="GW66" s="30">
        <v>15</v>
      </c>
      <c r="GX66" s="30">
        <v>20</v>
      </c>
      <c r="GY66" s="30">
        <v>20</v>
      </c>
      <c r="GZ66" s="30">
        <v>40</v>
      </c>
      <c r="HA66" s="30">
        <v>40</v>
      </c>
      <c r="HB66" s="30" t="s">
        <v>277</v>
      </c>
      <c r="HC66" s="30" t="s">
        <v>277</v>
      </c>
      <c r="HD66" s="30" t="s">
        <v>277</v>
      </c>
      <c r="HE66" s="30" t="s">
        <v>277</v>
      </c>
      <c r="HF66" s="30" t="s">
        <v>277</v>
      </c>
      <c r="HG66" s="30" t="s">
        <v>277</v>
      </c>
      <c r="HH66" s="30" t="s">
        <v>277</v>
      </c>
      <c r="HI66" s="30">
        <v>18.75</v>
      </c>
      <c r="HJ66" s="30">
        <v>28</v>
      </c>
      <c r="HK66" s="30">
        <v>33.333333333333336</v>
      </c>
      <c r="HL66" s="30">
        <v>17.5</v>
      </c>
      <c r="HM66" s="30">
        <v>33.333333333333336</v>
      </c>
      <c r="HN66" s="30">
        <v>20</v>
      </c>
      <c r="HO66" s="30">
        <v>6</v>
      </c>
      <c r="HP66" s="30">
        <v>0</v>
      </c>
      <c r="HQ66" s="30">
        <v>25</v>
      </c>
      <c r="HR66" s="30">
        <v>100</v>
      </c>
      <c r="HS66" s="30" t="s">
        <v>534</v>
      </c>
      <c r="HT66" s="30" t="s">
        <v>535</v>
      </c>
      <c r="HU66" s="30"/>
      <c r="HV66" s="32">
        <v>45343</v>
      </c>
      <c r="HW66" s="30">
        <v>371</v>
      </c>
      <c r="HX66" s="30"/>
      <c r="HY66" s="30">
        <v>15</v>
      </c>
      <c r="HZ66" s="30">
        <v>10</v>
      </c>
      <c r="IA66" s="30">
        <v>5</v>
      </c>
      <c r="IB66" s="30">
        <v>5</v>
      </c>
      <c r="IC66" s="30">
        <v>0</v>
      </c>
      <c r="ID66" s="30">
        <v>0</v>
      </c>
      <c r="IE66" s="30">
        <v>6.25</v>
      </c>
      <c r="IF66" s="30">
        <v>25</v>
      </c>
      <c r="IG66" s="30">
        <v>15</v>
      </c>
      <c r="IH66" s="30">
        <v>10</v>
      </c>
      <c r="II66" s="30">
        <v>5</v>
      </c>
      <c r="IJ66" s="30">
        <v>5</v>
      </c>
      <c r="IK66" s="30">
        <v>0</v>
      </c>
      <c r="IL66" s="30">
        <v>0</v>
      </c>
      <c r="IM66" s="30">
        <v>50</v>
      </c>
      <c r="IN66" s="30" t="s">
        <v>277</v>
      </c>
      <c r="IO66" s="30" t="s">
        <v>277</v>
      </c>
      <c r="IP66" s="30" t="s">
        <v>277</v>
      </c>
      <c r="IQ66" s="30" t="s">
        <v>277</v>
      </c>
      <c r="IR66" s="30" t="s">
        <v>277</v>
      </c>
      <c r="IS66" s="30" t="s">
        <v>277</v>
      </c>
      <c r="IT66" s="30" t="s">
        <v>277</v>
      </c>
      <c r="IU66" s="30">
        <v>6.25</v>
      </c>
      <c r="IV66" s="30">
        <v>14</v>
      </c>
      <c r="IW66" s="30">
        <v>16.666666666666668</v>
      </c>
      <c r="IX66" s="30">
        <v>5</v>
      </c>
      <c r="IY66" s="30">
        <v>16.666666666666668</v>
      </c>
      <c r="IZ66" s="30">
        <v>5</v>
      </c>
      <c r="JA66" s="30" t="s">
        <v>567</v>
      </c>
      <c r="JB66" s="30">
        <v>0</v>
      </c>
      <c r="JC66" s="30">
        <v>15</v>
      </c>
      <c r="JD66" s="30">
        <v>100</v>
      </c>
      <c r="JE66" s="30">
        <v>10</v>
      </c>
      <c r="JF66" s="30">
        <v>20</v>
      </c>
      <c r="JG66" s="30">
        <v>0</v>
      </c>
      <c r="JH66" s="30">
        <v>15</v>
      </c>
      <c r="JI66" s="30">
        <v>20</v>
      </c>
      <c r="JJ66" s="30">
        <v>20</v>
      </c>
      <c r="JK66" s="30">
        <v>8.75</v>
      </c>
      <c r="JL66" s="30">
        <v>45</v>
      </c>
      <c r="JM66" s="30">
        <v>40</v>
      </c>
      <c r="JN66" s="30">
        <v>30</v>
      </c>
      <c r="JO66" s="30">
        <v>15</v>
      </c>
      <c r="JP66" s="30">
        <v>15</v>
      </c>
      <c r="JQ66" s="30">
        <v>20</v>
      </c>
      <c r="JR66" s="30">
        <v>30</v>
      </c>
      <c r="JS66" s="30">
        <v>40</v>
      </c>
      <c r="JT66" s="30" t="s">
        <v>277</v>
      </c>
      <c r="JU66" s="30" t="s">
        <v>277</v>
      </c>
      <c r="JV66" s="30" t="s">
        <v>277</v>
      </c>
      <c r="JW66" s="30" t="s">
        <v>277</v>
      </c>
      <c r="JX66" s="30" t="s">
        <v>277</v>
      </c>
      <c r="JY66" s="30" t="s">
        <v>277</v>
      </c>
      <c r="JZ66" s="30" t="s">
        <v>277</v>
      </c>
      <c r="KA66" s="30">
        <v>18.75</v>
      </c>
      <c r="KB66" s="30">
        <v>26</v>
      </c>
      <c r="KC66" s="30">
        <v>38.333333333333336</v>
      </c>
      <c r="KD66" s="30">
        <v>15</v>
      </c>
      <c r="KE66" s="30">
        <v>30</v>
      </c>
      <c r="KF66" s="30">
        <v>20</v>
      </c>
      <c r="KG66" s="30" t="s">
        <v>567</v>
      </c>
      <c r="KH66" s="30">
        <v>0</v>
      </c>
      <c r="KI66" s="30">
        <v>25</v>
      </c>
      <c r="KJ66" s="30">
        <v>100</v>
      </c>
      <c r="KK66" s="30"/>
      <c r="KL66" s="30"/>
      <c r="KM66" s="30"/>
    </row>
    <row r="67" spans="1:299" s="1" customFormat="1">
      <c r="A67" s="8" t="s">
        <v>657</v>
      </c>
      <c r="B67" s="9">
        <v>53</v>
      </c>
      <c r="C67" s="20">
        <v>50</v>
      </c>
      <c r="D67" s="9">
        <v>2</v>
      </c>
      <c r="E67" s="9" t="s">
        <v>589</v>
      </c>
      <c r="F67" s="9">
        <v>8238</v>
      </c>
      <c r="G67" s="9" t="s">
        <v>16</v>
      </c>
      <c r="H67" s="9" t="s">
        <v>17</v>
      </c>
      <c r="I67" s="9" t="s">
        <v>22</v>
      </c>
      <c r="J67" s="19">
        <v>44516</v>
      </c>
      <c r="K67" s="30" t="s">
        <v>668</v>
      </c>
      <c r="L67" s="30" t="s">
        <v>714</v>
      </c>
      <c r="M67" s="9" t="s">
        <v>120</v>
      </c>
      <c r="N67" s="9" t="s">
        <v>143</v>
      </c>
      <c r="O67" s="10"/>
      <c r="T67" s="32">
        <v>44515</v>
      </c>
      <c r="U67" s="30">
        <v>-1</v>
      </c>
      <c r="V67" s="30"/>
      <c r="W67" s="30">
        <v>10</v>
      </c>
      <c r="X67" s="30">
        <v>40</v>
      </c>
      <c r="Y67" s="30">
        <v>60</v>
      </c>
      <c r="Z67" s="30">
        <v>65</v>
      </c>
      <c r="AA67" s="30">
        <v>60</v>
      </c>
      <c r="AB67" s="30">
        <v>60</v>
      </c>
      <c r="AC67" s="33">
        <v>56.25</v>
      </c>
      <c r="AD67" s="30">
        <v>60</v>
      </c>
      <c r="AE67" s="30">
        <v>60</v>
      </c>
      <c r="AF67" s="30">
        <v>65</v>
      </c>
      <c r="AG67" s="30">
        <v>90</v>
      </c>
      <c r="AH67" s="30">
        <v>75</v>
      </c>
      <c r="AI67" s="30">
        <v>75</v>
      </c>
      <c r="AJ67" s="30">
        <v>90</v>
      </c>
      <c r="AK67" s="30">
        <v>85</v>
      </c>
      <c r="AL67" s="31" t="s">
        <v>234</v>
      </c>
      <c r="AM67" s="31" t="s">
        <v>234</v>
      </c>
      <c r="AN67" s="31" t="s">
        <v>234</v>
      </c>
      <c r="AO67" s="31" t="s">
        <v>234</v>
      </c>
      <c r="AP67" s="31" t="s">
        <v>234</v>
      </c>
      <c r="AQ67" s="31" t="s">
        <v>234</v>
      </c>
      <c r="AR67" s="31" t="s">
        <v>234</v>
      </c>
      <c r="AS67" s="33">
        <v>80</v>
      </c>
      <c r="AT67" s="33">
        <v>81</v>
      </c>
      <c r="AU67" s="33">
        <v>61.666666666666664</v>
      </c>
      <c r="AV67" s="33">
        <v>82.5</v>
      </c>
      <c r="AW67" s="33">
        <v>83.333333333333329</v>
      </c>
      <c r="AX67" s="33">
        <v>76.25</v>
      </c>
      <c r="AY67" s="34">
        <v>3</v>
      </c>
      <c r="AZ67" s="33">
        <v>3</v>
      </c>
      <c r="BA67" s="30">
        <v>85</v>
      </c>
      <c r="BB67" s="30">
        <v>95</v>
      </c>
      <c r="BC67" s="30">
        <v>20</v>
      </c>
      <c r="BD67" s="30">
        <v>45</v>
      </c>
      <c r="BE67" s="30">
        <v>40</v>
      </c>
      <c r="BF67" s="30">
        <v>45</v>
      </c>
      <c r="BG67" s="30">
        <v>45</v>
      </c>
      <c r="BH67" s="30">
        <v>45</v>
      </c>
      <c r="BI67" s="33">
        <v>42.5</v>
      </c>
      <c r="BJ67" s="30">
        <v>40</v>
      </c>
      <c r="BK67" s="30">
        <v>40</v>
      </c>
      <c r="BL67" s="30">
        <v>45</v>
      </c>
      <c r="BM67" s="30">
        <v>55</v>
      </c>
      <c r="BN67" s="30">
        <v>45</v>
      </c>
      <c r="BO67" s="30">
        <v>45</v>
      </c>
      <c r="BP67" s="30">
        <v>45</v>
      </c>
      <c r="BQ67" s="30">
        <v>70</v>
      </c>
      <c r="BR67" s="31" t="s">
        <v>234</v>
      </c>
      <c r="BS67" s="31" t="s">
        <v>234</v>
      </c>
      <c r="BT67" s="31" t="s">
        <v>234</v>
      </c>
      <c r="BU67" s="31" t="s">
        <v>234</v>
      </c>
      <c r="BV67" s="31" t="s">
        <v>234</v>
      </c>
      <c r="BW67" s="31" t="s">
        <v>234</v>
      </c>
      <c r="BX67" s="31" t="s">
        <v>234</v>
      </c>
      <c r="BY67" s="33">
        <v>50</v>
      </c>
      <c r="BZ67" s="33">
        <v>52</v>
      </c>
      <c r="CA67" s="33">
        <v>41.666666666666664</v>
      </c>
      <c r="CB67" s="33">
        <v>50</v>
      </c>
      <c r="CC67" s="33">
        <v>53.333333333333336</v>
      </c>
      <c r="CD67" s="33">
        <v>47.5</v>
      </c>
      <c r="CE67" s="30">
        <v>3</v>
      </c>
      <c r="CF67" s="33">
        <v>2</v>
      </c>
      <c r="CG67" s="30">
        <v>50</v>
      </c>
      <c r="CH67" s="30">
        <v>100</v>
      </c>
      <c r="CI67" s="31" t="s">
        <v>536</v>
      </c>
      <c r="CJ67" s="31" t="s">
        <v>537</v>
      </c>
      <c r="CK67" s="48"/>
      <c r="CL67" s="32">
        <v>44599</v>
      </c>
      <c r="CM67" s="30">
        <v>83</v>
      </c>
      <c r="CN67" s="30"/>
      <c r="CO67" s="30">
        <v>15</v>
      </c>
      <c r="CP67" s="30">
        <v>45</v>
      </c>
      <c r="CQ67" s="30">
        <v>50</v>
      </c>
      <c r="CR67" s="30">
        <v>65</v>
      </c>
      <c r="CS67" s="30">
        <v>60</v>
      </c>
      <c r="CT67" s="30">
        <v>55</v>
      </c>
      <c r="CU67" s="33">
        <v>52.5</v>
      </c>
      <c r="CV67" s="30">
        <v>55</v>
      </c>
      <c r="CW67" s="30">
        <v>60</v>
      </c>
      <c r="CX67" s="30">
        <v>85</v>
      </c>
      <c r="CY67" s="30">
        <v>100</v>
      </c>
      <c r="CZ67" s="30">
        <v>90</v>
      </c>
      <c r="DA67" s="30">
        <v>95</v>
      </c>
      <c r="DB67" s="30">
        <v>100</v>
      </c>
      <c r="DC67" s="30">
        <v>95</v>
      </c>
      <c r="DD67" s="30"/>
      <c r="DE67" s="30"/>
      <c r="DF67" s="30"/>
      <c r="DG67" s="30"/>
      <c r="DH67" s="30"/>
      <c r="DI67" s="30"/>
      <c r="DJ67" s="30"/>
      <c r="DK67" s="33">
        <v>93.75</v>
      </c>
      <c r="DL67" s="33">
        <v>94</v>
      </c>
      <c r="DM67" s="33">
        <v>66.666666666666671</v>
      </c>
      <c r="DN67" s="33">
        <v>95</v>
      </c>
      <c r="DO67" s="33">
        <v>96.666666666666671</v>
      </c>
      <c r="DP67" s="33">
        <v>92.5</v>
      </c>
      <c r="DQ67" s="30">
        <v>3</v>
      </c>
      <c r="DR67" s="33">
        <v>4</v>
      </c>
      <c r="DS67" s="30">
        <v>90</v>
      </c>
      <c r="DT67" s="30">
        <v>100</v>
      </c>
      <c r="DU67" s="30">
        <v>15</v>
      </c>
      <c r="DV67" s="30">
        <v>30</v>
      </c>
      <c r="DW67" s="30">
        <v>35</v>
      </c>
      <c r="DX67" s="30">
        <v>45</v>
      </c>
      <c r="DY67" s="30">
        <v>50</v>
      </c>
      <c r="DZ67" s="30">
        <v>50</v>
      </c>
      <c r="EA67" s="33">
        <v>36.25</v>
      </c>
      <c r="EB67" s="30">
        <v>40</v>
      </c>
      <c r="EC67" s="30">
        <v>40</v>
      </c>
      <c r="ED67" s="30">
        <v>50</v>
      </c>
      <c r="EE67" s="30">
        <v>55</v>
      </c>
      <c r="EF67" s="30">
        <v>45</v>
      </c>
      <c r="EG67" s="30">
        <v>50</v>
      </c>
      <c r="EH67" s="30">
        <v>55</v>
      </c>
      <c r="EI67" s="30">
        <v>75</v>
      </c>
      <c r="EJ67" s="30" t="s">
        <v>277</v>
      </c>
      <c r="EK67" s="30" t="s">
        <v>277</v>
      </c>
      <c r="EL67" s="30" t="s">
        <v>277</v>
      </c>
      <c r="EM67" s="30" t="s">
        <v>277</v>
      </c>
      <c r="EN67" s="30" t="s">
        <v>277</v>
      </c>
      <c r="EO67" s="30" t="s">
        <v>277</v>
      </c>
      <c r="EP67" s="30" t="s">
        <v>277</v>
      </c>
      <c r="EQ67" s="33">
        <v>51.25</v>
      </c>
      <c r="ER67" s="33">
        <v>56</v>
      </c>
      <c r="ES67" s="33">
        <v>43.333333333333336</v>
      </c>
      <c r="ET67" s="33">
        <v>50</v>
      </c>
      <c r="EU67" s="33">
        <v>60</v>
      </c>
      <c r="EV67" s="33">
        <v>50</v>
      </c>
      <c r="EW67" s="30">
        <v>3</v>
      </c>
      <c r="EX67" s="33">
        <v>2</v>
      </c>
      <c r="EY67" s="30">
        <v>50</v>
      </c>
      <c r="EZ67" s="30">
        <v>100</v>
      </c>
      <c r="FA67" s="30" t="s">
        <v>538</v>
      </c>
      <c r="FB67" s="30" t="s">
        <v>539</v>
      </c>
      <c r="FC67" s="48"/>
      <c r="FD67" s="32">
        <v>44706</v>
      </c>
      <c r="FE67" s="30">
        <v>190</v>
      </c>
      <c r="FF67" s="30"/>
      <c r="FG67" s="30">
        <v>20</v>
      </c>
      <c r="FH67" s="30">
        <v>45</v>
      </c>
      <c r="FI67" s="30">
        <v>55</v>
      </c>
      <c r="FJ67" s="30">
        <v>70</v>
      </c>
      <c r="FK67" s="30">
        <v>55</v>
      </c>
      <c r="FL67" s="30">
        <v>75</v>
      </c>
      <c r="FM67" s="33">
        <v>56.25</v>
      </c>
      <c r="FN67" s="30">
        <v>60</v>
      </c>
      <c r="FO67" s="30">
        <v>65</v>
      </c>
      <c r="FP67" s="30">
        <v>90</v>
      </c>
      <c r="FQ67" s="30">
        <v>100</v>
      </c>
      <c r="FR67" s="30">
        <v>90</v>
      </c>
      <c r="FS67" s="30">
        <v>90</v>
      </c>
      <c r="FT67" s="30">
        <v>95</v>
      </c>
      <c r="FU67" s="30">
        <v>100</v>
      </c>
      <c r="FV67" s="30"/>
      <c r="FW67" s="30"/>
      <c r="FX67" s="30"/>
      <c r="FY67" s="30"/>
      <c r="FZ67" s="30"/>
      <c r="GA67" s="30"/>
      <c r="GB67" s="30"/>
      <c r="GC67" s="33">
        <v>95</v>
      </c>
      <c r="GD67" s="33">
        <v>95</v>
      </c>
      <c r="GE67" s="33">
        <v>71.666666666666671</v>
      </c>
      <c r="GF67" s="33">
        <v>95</v>
      </c>
      <c r="GG67" s="33">
        <v>95</v>
      </c>
      <c r="GH67" s="33">
        <v>92.5</v>
      </c>
      <c r="GI67" s="30">
        <v>3</v>
      </c>
      <c r="GJ67" s="33">
        <v>4</v>
      </c>
      <c r="GK67" s="30">
        <v>90</v>
      </c>
      <c r="GL67" s="30">
        <v>80</v>
      </c>
      <c r="GM67" s="30">
        <v>20</v>
      </c>
      <c r="GN67" s="30">
        <v>40</v>
      </c>
      <c r="GO67" s="30">
        <v>35</v>
      </c>
      <c r="GP67" s="30">
        <v>50</v>
      </c>
      <c r="GQ67" s="30">
        <v>45</v>
      </c>
      <c r="GR67" s="30">
        <v>45</v>
      </c>
      <c r="GS67" s="30">
        <v>40</v>
      </c>
      <c r="GT67" s="30">
        <v>40</v>
      </c>
      <c r="GU67" s="30">
        <v>45</v>
      </c>
      <c r="GV67" s="30">
        <v>45</v>
      </c>
      <c r="GW67" s="30">
        <v>50</v>
      </c>
      <c r="GX67" s="30">
        <v>50</v>
      </c>
      <c r="GY67" s="30">
        <v>55</v>
      </c>
      <c r="GZ67" s="30">
        <v>55</v>
      </c>
      <c r="HA67" s="30">
        <v>80</v>
      </c>
      <c r="HB67" s="30"/>
      <c r="HC67" s="30"/>
      <c r="HD67" s="30"/>
      <c r="HE67" s="30"/>
      <c r="HF67" s="30"/>
      <c r="HG67" s="30"/>
      <c r="HH67" s="30"/>
      <c r="HI67" s="30">
        <v>48.75</v>
      </c>
      <c r="HJ67" s="30">
        <v>56</v>
      </c>
      <c r="HK67" s="30">
        <v>43.333333333333336</v>
      </c>
      <c r="HL67" s="30">
        <v>50</v>
      </c>
      <c r="HM67" s="30">
        <v>63.333333333333336</v>
      </c>
      <c r="HN67" s="30">
        <v>50</v>
      </c>
      <c r="HO67" s="30">
        <v>3</v>
      </c>
      <c r="HP67" s="30">
        <v>2</v>
      </c>
      <c r="HQ67" s="30">
        <v>45</v>
      </c>
      <c r="HR67" s="30">
        <v>100</v>
      </c>
      <c r="HS67" s="30"/>
      <c r="HT67" s="30"/>
      <c r="HU67" s="48" t="s">
        <v>540</v>
      </c>
      <c r="HV67" s="32">
        <v>44953</v>
      </c>
      <c r="HW67" s="30">
        <v>437</v>
      </c>
      <c r="HX67" s="30"/>
      <c r="HY67" s="30">
        <v>35</v>
      </c>
      <c r="HZ67" s="30">
        <v>40</v>
      </c>
      <c r="IA67" s="30">
        <v>55</v>
      </c>
      <c r="IB67" s="30">
        <v>75</v>
      </c>
      <c r="IC67" s="30">
        <v>60</v>
      </c>
      <c r="ID67" s="30">
        <v>50</v>
      </c>
      <c r="IE67" s="30">
        <v>56.25</v>
      </c>
      <c r="IF67" s="30">
        <v>70</v>
      </c>
      <c r="IG67" s="30">
        <v>75</v>
      </c>
      <c r="IH67" s="30">
        <v>90</v>
      </c>
      <c r="II67" s="30">
        <v>100</v>
      </c>
      <c r="IJ67" s="30">
        <v>90</v>
      </c>
      <c r="IK67" s="30">
        <v>90</v>
      </c>
      <c r="IL67" s="30">
        <v>100</v>
      </c>
      <c r="IM67" s="30">
        <v>100</v>
      </c>
      <c r="IN67" s="42">
        <v>70</v>
      </c>
      <c r="IO67" s="42">
        <v>85</v>
      </c>
      <c r="IP67" s="42">
        <v>70</v>
      </c>
      <c r="IQ67" s="42">
        <v>65</v>
      </c>
      <c r="IR67" s="42">
        <v>45</v>
      </c>
      <c r="IS67" s="42">
        <v>20</v>
      </c>
      <c r="IT67" s="62">
        <v>0</v>
      </c>
      <c r="IU67" s="30">
        <v>95</v>
      </c>
      <c r="IV67" s="30">
        <v>96</v>
      </c>
      <c r="IW67" s="30">
        <v>78.333333333333329</v>
      </c>
      <c r="IX67" s="30">
        <v>95</v>
      </c>
      <c r="IY67" s="30">
        <v>96.666666666666671</v>
      </c>
      <c r="IZ67" s="30">
        <v>92.5</v>
      </c>
      <c r="JA67" s="30">
        <v>3</v>
      </c>
      <c r="JB67" s="30">
        <v>4</v>
      </c>
      <c r="JC67" s="30">
        <v>90</v>
      </c>
      <c r="JD67" s="30">
        <v>100</v>
      </c>
      <c r="JE67" s="30">
        <v>45</v>
      </c>
      <c r="JF67" s="30">
        <v>50</v>
      </c>
      <c r="JG67" s="30">
        <v>60</v>
      </c>
      <c r="JH67" s="30">
        <v>40</v>
      </c>
      <c r="JI67" s="30">
        <v>45</v>
      </c>
      <c r="JJ67" s="30">
        <v>45</v>
      </c>
      <c r="JK67" s="30">
        <v>52.5</v>
      </c>
      <c r="JL67" s="30">
        <v>45</v>
      </c>
      <c r="JM67" s="30">
        <v>55</v>
      </c>
      <c r="JN67" s="30">
        <v>50</v>
      </c>
      <c r="JO67" s="30">
        <v>60</v>
      </c>
      <c r="JP67" s="30">
        <v>45</v>
      </c>
      <c r="JQ67" s="30">
        <v>45</v>
      </c>
      <c r="JR67" s="30">
        <v>50</v>
      </c>
      <c r="JS67" s="30">
        <v>75</v>
      </c>
      <c r="JT67" s="42">
        <v>70</v>
      </c>
      <c r="JU67" s="30" t="s">
        <v>277</v>
      </c>
      <c r="JV67" s="42">
        <v>70</v>
      </c>
      <c r="JW67" s="42">
        <v>65</v>
      </c>
      <c r="JX67" s="42">
        <v>45</v>
      </c>
      <c r="JY67" s="42">
        <v>10</v>
      </c>
      <c r="JZ67" s="30" t="s">
        <v>277</v>
      </c>
      <c r="KA67" s="30">
        <v>53.75</v>
      </c>
      <c r="KB67" s="30">
        <v>56</v>
      </c>
      <c r="KC67" s="30">
        <v>50</v>
      </c>
      <c r="KD67" s="30">
        <v>52.5</v>
      </c>
      <c r="KE67" s="30">
        <v>56.666666666666664</v>
      </c>
      <c r="KF67" s="30">
        <v>50</v>
      </c>
      <c r="KG67" s="30">
        <v>3</v>
      </c>
      <c r="KH67" s="30">
        <v>2</v>
      </c>
      <c r="KI67" s="30">
        <v>50</v>
      </c>
      <c r="KJ67" s="30">
        <v>70</v>
      </c>
      <c r="KK67" s="30" t="s">
        <v>541</v>
      </c>
      <c r="KL67" s="30" t="s">
        <v>542</v>
      </c>
      <c r="KM67" s="30"/>
    </row>
  </sheetData>
  <autoFilter ref="A4:KM4" xr:uid="{A642943B-5459-492A-A314-613ADDAD7D09}"/>
  <mergeCells count="93">
    <mergeCell ref="AX2:AX3"/>
    <mergeCell ref="AY2:AY3"/>
    <mergeCell ref="AZ2:AZ3"/>
    <mergeCell ref="BA2:BA3"/>
    <mergeCell ref="AS2:AS3"/>
    <mergeCell ref="AT2:AT3"/>
    <mergeCell ref="AU2:AU3"/>
    <mergeCell ref="DT2:DT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EV2:EV3"/>
    <mergeCell ref="EW2:EW3"/>
    <mergeCell ref="EX2:EX3"/>
    <mergeCell ref="EY2:EY3"/>
    <mergeCell ref="EQ2:EQ3"/>
    <mergeCell ref="ER2:ER3"/>
    <mergeCell ref="ES2:ES3"/>
    <mergeCell ref="ET2:ET3"/>
    <mergeCell ref="EU2:EU3"/>
    <mergeCell ref="GH2:GH3"/>
    <mergeCell ref="GI2:GI3"/>
    <mergeCell ref="GJ2:GJ3"/>
    <mergeCell ref="GK2:GK3"/>
    <mergeCell ref="GC2:GC3"/>
    <mergeCell ref="GD2:GD3"/>
    <mergeCell ref="GE2:GE3"/>
    <mergeCell ref="GF2:GF3"/>
    <mergeCell ref="GG2:GG3"/>
    <mergeCell ref="HQ2:HQ3"/>
    <mergeCell ref="HR2:HR3"/>
    <mergeCell ref="HS2:HU2"/>
    <mergeCell ref="IE2:IE3"/>
    <mergeCell ref="HI2:HI3"/>
    <mergeCell ref="HJ2:HJ3"/>
    <mergeCell ref="HK2:HK3"/>
    <mergeCell ref="HL2:HL3"/>
    <mergeCell ref="HM2:HM3"/>
    <mergeCell ref="HN2:HN3"/>
    <mergeCell ref="CI2:CK2"/>
    <mergeCell ref="CU2:CU3"/>
    <mergeCell ref="KB2:KB3"/>
    <mergeCell ref="KC2:KC3"/>
    <mergeCell ref="KD2:KD3"/>
    <mergeCell ref="JA2:JA3"/>
    <mergeCell ref="JB2:JB3"/>
    <mergeCell ref="JC2:JC3"/>
    <mergeCell ref="KA2:KA3"/>
    <mergeCell ref="JD2:JD3"/>
    <mergeCell ref="JK2:JK3"/>
    <mergeCell ref="IU2:IU3"/>
    <mergeCell ref="IV2:IV3"/>
    <mergeCell ref="IW2:IW3"/>
    <mergeCell ref="IX2:IX3"/>
    <mergeCell ref="IY2:IY3"/>
    <mergeCell ref="P2:S2"/>
    <mergeCell ref="AC2:AC3"/>
    <mergeCell ref="BB2:BB3"/>
    <mergeCell ref="BI2:BI3"/>
    <mergeCell ref="CH2:CH3"/>
    <mergeCell ref="CC2:CC3"/>
    <mergeCell ref="CD2:CD3"/>
    <mergeCell ref="CE2:CE3"/>
    <mergeCell ref="CF2:CF3"/>
    <mergeCell ref="CG2:CG3"/>
    <mergeCell ref="BY2:BY3"/>
    <mergeCell ref="BZ2:BZ3"/>
    <mergeCell ref="CA2:CA3"/>
    <mergeCell ref="CB2:CB3"/>
    <mergeCell ref="AV2:AV3"/>
    <mergeCell ref="AW2:AW3"/>
    <mergeCell ref="KJ2:KJ3"/>
    <mergeCell ref="KK2:KM2"/>
    <mergeCell ref="EA2:EA3"/>
    <mergeCell ref="EZ2:EZ3"/>
    <mergeCell ref="FA2:FC2"/>
    <mergeCell ref="FM2:FM3"/>
    <mergeCell ref="GL2:GL3"/>
    <mergeCell ref="GS2:GS3"/>
    <mergeCell ref="KH2:KH3"/>
    <mergeCell ref="KI2:KI3"/>
    <mergeCell ref="KE2:KE3"/>
    <mergeCell ref="KF2:KF3"/>
    <mergeCell ref="KG2:KG3"/>
    <mergeCell ref="IZ2:IZ3"/>
    <mergeCell ref="HO2:HO3"/>
    <mergeCell ref="HP2:HP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D618-0E19-4DC8-8E92-AE33AEAFD7B9}">
  <sheetPr filterMode="1"/>
  <dimension ref="A2:KS53"/>
  <sheetViews>
    <sheetView tabSelected="1" zoomScale="85" zoomScaleNormal="85" workbookViewId="0">
      <pane xSplit="1" ySplit="11" topLeftCell="B12" activePane="bottomRight" state="frozen"/>
      <selection pane="topRight" activeCell="D1" sqref="D1"/>
      <selection pane="bottomLeft" activeCell="A12" sqref="A12"/>
      <selection pane="bottomRight" activeCell="B25" sqref="B25"/>
    </sheetView>
  </sheetViews>
  <sheetFormatPr defaultRowHeight="16.5"/>
  <cols>
    <col min="2" max="4" width="9" customWidth="1"/>
    <col min="5" max="5" width="15.625" customWidth="1"/>
    <col min="6" max="7" width="11.125" customWidth="1"/>
    <col min="8" max="8" width="9" customWidth="1"/>
    <col min="9" max="9" width="11.125" bestFit="1" customWidth="1"/>
    <col min="10" max="10" width="11.125" customWidth="1"/>
    <col min="11" max="11" width="57.25" customWidth="1"/>
    <col min="12" max="12" width="53.625" hidden="1" customWidth="1"/>
    <col min="13" max="13" width="41.625" hidden="1" customWidth="1"/>
    <col min="14" max="14" width="13.75" hidden="1" customWidth="1"/>
    <col min="15" max="15" width="11.125" bestFit="1" customWidth="1"/>
    <col min="16" max="18" width="11.125" customWidth="1"/>
    <col min="19" max="19" width="11.125" hidden="1" customWidth="1"/>
    <col min="20" max="20" width="14.375" customWidth="1"/>
    <col min="21" max="21" width="12.125" customWidth="1"/>
    <col min="22" max="22" width="13" customWidth="1"/>
    <col min="23" max="23" width="11.125" customWidth="1"/>
    <col min="24" max="24" width="11.125" hidden="1" customWidth="1"/>
    <col min="25" max="25" width="11.625" bestFit="1" customWidth="1"/>
    <col min="26" max="26" width="10.25" bestFit="1" customWidth="1"/>
    <col min="28" max="94" width="9" customWidth="1"/>
    <col min="95" max="95" width="10.25" customWidth="1"/>
    <col min="96" max="164" width="9" customWidth="1"/>
    <col min="165" max="165" width="11.625" bestFit="1" customWidth="1"/>
    <col min="236" max="236" width="10.25" bestFit="1" customWidth="1"/>
    <col min="237" max="237" width="10.25" style="103" bestFit="1" customWidth="1"/>
  </cols>
  <sheetData>
    <row r="2" spans="1:305" s="1" customFormat="1" ht="40.5">
      <c r="B2" s="2" t="s">
        <v>173</v>
      </c>
      <c r="C2" s="2" t="s">
        <v>174</v>
      </c>
      <c r="D2" s="18" t="s">
        <v>248</v>
      </c>
      <c r="E2" s="2" t="s">
        <v>21</v>
      </c>
      <c r="F2" s="3" t="s">
        <v>175</v>
      </c>
      <c r="G2" s="4" t="s">
        <v>176</v>
      </c>
      <c r="H2" s="5" t="s">
        <v>20</v>
      </c>
      <c r="I2" s="5" t="s">
        <v>0</v>
      </c>
      <c r="J2" s="5" t="s">
        <v>659</v>
      </c>
      <c r="K2" s="5" t="s">
        <v>660</v>
      </c>
      <c r="O2" s="133" t="s">
        <v>199</v>
      </c>
      <c r="P2" s="133"/>
      <c r="Q2" s="133"/>
      <c r="R2" s="133"/>
      <c r="S2" s="133"/>
      <c r="T2" s="133"/>
      <c r="U2" s="133"/>
      <c r="V2" s="133"/>
      <c r="W2" s="133"/>
      <c r="X2" s="133"/>
      <c r="Y2" s="24" t="s">
        <v>203</v>
      </c>
      <c r="Z2" s="25" t="s">
        <v>244</v>
      </c>
      <c r="AA2" s="26" t="s">
        <v>205</v>
      </c>
      <c r="AB2" s="86" t="s">
        <v>206</v>
      </c>
      <c r="AC2" s="86" t="s">
        <v>206</v>
      </c>
      <c r="AD2" s="86" t="s">
        <v>206</v>
      </c>
      <c r="AE2" s="86" t="s">
        <v>206</v>
      </c>
      <c r="AF2" s="86" t="s">
        <v>206</v>
      </c>
      <c r="AG2" s="86" t="s">
        <v>206</v>
      </c>
      <c r="AH2" s="131" t="s">
        <v>207</v>
      </c>
      <c r="AI2" s="85" t="s">
        <v>208</v>
      </c>
      <c r="AJ2" s="85" t="s">
        <v>208</v>
      </c>
      <c r="AK2" s="85" t="s">
        <v>208</v>
      </c>
      <c r="AL2" s="85" t="s">
        <v>208</v>
      </c>
      <c r="AM2" s="85" t="s">
        <v>208</v>
      </c>
      <c r="AN2" s="85" t="s">
        <v>208</v>
      </c>
      <c r="AO2" s="85" t="s">
        <v>208</v>
      </c>
      <c r="AP2" s="85" t="s">
        <v>208</v>
      </c>
      <c r="AQ2" s="85" t="s">
        <v>208</v>
      </c>
      <c r="AR2" s="85" t="s">
        <v>208</v>
      </c>
      <c r="AS2" s="85" t="s">
        <v>208</v>
      </c>
      <c r="AT2" s="85" t="s">
        <v>208</v>
      </c>
      <c r="AU2" s="85" t="s">
        <v>208</v>
      </c>
      <c r="AV2" s="85" t="s">
        <v>208</v>
      </c>
      <c r="AW2" s="85" t="s">
        <v>208</v>
      </c>
      <c r="AX2" s="134" t="s">
        <v>209</v>
      </c>
      <c r="AY2" s="134" t="s">
        <v>210</v>
      </c>
      <c r="AZ2" s="132" t="s">
        <v>211</v>
      </c>
      <c r="BA2" s="132" t="s">
        <v>212</v>
      </c>
      <c r="BB2" s="132" t="s">
        <v>213</v>
      </c>
      <c r="BC2" s="132" t="s">
        <v>214</v>
      </c>
      <c r="BD2" s="132" t="s">
        <v>215</v>
      </c>
      <c r="BE2" s="132" t="s">
        <v>216</v>
      </c>
      <c r="BF2" s="128" t="s">
        <v>217</v>
      </c>
      <c r="BG2" s="128" t="s">
        <v>218</v>
      </c>
      <c r="BH2" s="86" t="s">
        <v>219</v>
      </c>
      <c r="BI2" s="86" t="s">
        <v>219</v>
      </c>
      <c r="BJ2" s="86" t="s">
        <v>219</v>
      </c>
      <c r="BK2" s="86" t="s">
        <v>219</v>
      </c>
      <c r="BL2" s="86" t="s">
        <v>219</v>
      </c>
      <c r="BM2" s="86" t="s">
        <v>219</v>
      </c>
      <c r="BN2" s="130" t="s">
        <v>220</v>
      </c>
      <c r="BO2" s="85" t="s">
        <v>221</v>
      </c>
      <c r="BP2" s="85" t="s">
        <v>221</v>
      </c>
      <c r="BQ2" s="85" t="s">
        <v>221</v>
      </c>
      <c r="BR2" s="85" t="s">
        <v>221</v>
      </c>
      <c r="BS2" s="85" t="s">
        <v>221</v>
      </c>
      <c r="BT2" s="85" t="s">
        <v>221</v>
      </c>
      <c r="BU2" s="85" t="s">
        <v>221</v>
      </c>
      <c r="BV2" s="85" t="s">
        <v>221</v>
      </c>
      <c r="BW2" s="85" t="s">
        <v>221</v>
      </c>
      <c r="BX2" s="85" t="s">
        <v>221</v>
      </c>
      <c r="BY2" s="85" t="s">
        <v>221</v>
      </c>
      <c r="BZ2" s="85" t="s">
        <v>221</v>
      </c>
      <c r="CA2" s="85" t="s">
        <v>221</v>
      </c>
      <c r="CB2" s="85" t="s">
        <v>221</v>
      </c>
      <c r="CC2" s="85" t="s">
        <v>221</v>
      </c>
      <c r="CD2" s="134" t="s">
        <v>220</v>
      </c>
      <c r="CE2" s="134" t="s">
        <v>222</v>
      </c>
      <c r="CF2" s="132" t="s">
        <v>211</v>
      </c>
      <c r="CG2" s="132" t="s">
        <v>212</v>
      </c>
      <c r="CH2" s="132" t="s">
        <v>213</v>
      </c>
      <c r="CI2" s="132" t="s">
        <v>214</v>
      </c>
      <c r="CJ2" s="132" t="s">
        <v>215</v>
      </c>
      <c r="CK2" s="132" t="s">
        <v>216</v>
      </c>
      <c r="CL2" s="128" t="s">
        <v>223</v>
      </c>
      <c r="CM2" s="128" t="s">
        <v>224</v>
      </c>
      <c r="CN2" s="129" t="s">
        <v>225</v>
      </c>
      <c r="CO2" s="129"/>
      <c r="CP2" s="129"/>
      <c r="CQ2" s="27" t="s">
        <v>226</v>
      </c>
      <c r="CR2" s="25" t="s">
        <v>245</v>
      </c>
      <c r="CS2" s="26" t="s">
        <v>205</v>
      </c>
      <c r="CT2" s="86" t="s">
        <v>206</v>
      </c>
      <c r="CU2" s="86" t="s">
        <v>206</v>
      </c>
      <c r="CV2" s="86" t="s">
        <v>206</v>
      </c>
      <c r="CW2" s="86" t="s">
        <v>206</v>
      </c>
      <c r="CX2" s="86" t="s">
        <v>206</v>
      </c>
      <c r="CY2" s="86" t="s">
        <v>206</v>
      </c>
      <c r="CZ2" s="131" t="s">
        <v>207</v>
      </c>
      <c r="DA2" s="85" t="s">
        <v>208</v>
      </c>
      <c r="DB2" s="85" t="s">
        <v>208</v>
      </c>
      <c r="DC2" s="85" t="s">
        <v>208</v>
      </c>
      <c r="DD2" s="85" t="s">
        <v>208</v>
      </c>
      <c r="DE2" s="85" t="s">
        <v>208</v>
      </c>
      <c r="DF2" s="85" t="s">
        <v>208</v>
      </c>
      <c r="DG2" s="85" t="s">
        <v>208</v>
      </c>
      <c r="DH2" s="85" t="s">
        <v>208</v>
      </c>
      <c r="DI2" s="85" t="s">
        <v>208</v>
      </c>
      <c r="DJ2" s="85" t="s">
        <v>208</v>
      </c>
      <c r="DK2" s="85" t="s">
        <v>208</v>
      </c>
      <c r="DL2" s="85" t="s">
        <v>208</v>
      </c>
      <c r="DM2" s="85" t="s">
        <v>208</v>
      </c>
      <c r="DN2" s="85" t="s">
        <v>208</v>
      </c>
      <c r="DO2" s="85" t="s">
        <v>208</v>
      </c>
      <c r="DP2" s="134" t="s">
        <v>209</v>
      </c>
      <c r="DQ2" s="134" t="s">
        <v>210</v>
      </c>
      <c r="DR2" s="132" t="s">
        <v>211</v>
      </c>
      <c r="DS2" s="132" t="s">
        <v>212</v>
      </c>
      <c r="DT2" s="132" t="s">
        <v>213</v>
      </c>
      <c r="DU2" s="132" t="s">
        <v>214</v>
      </c>
      <c r="DV2" s="132" t="s">
        <v>215</v>
      </c>
      <c r="DW2" s="132" t="s">
        <v>216</v>
      </c>
      <c r="DX2" s="128" t="s">
        <v>217</v>
      </c>
      <c r="DY2" s="128" t="s">
        <v>227</v>
      </c>
      <c r="DZ2" s="86" t="s">
        <v>219</v>
      </c>
      <c r="EA2" s="86" t="s">
        <v>219</v>
      </c>
      <c r="EB2" s="86" t="s">
        <v>219</v>
      </c>
      <c r="EC2" s="86" t="s">
        <v>219</v>
      </c>
      <c r="ED2" s="86" t="s">
        <v>219</v>
      </c>
      <c r="EE2" s="86" t="s">
        <v>219</v>
      </c>
      <c r="EF2" s="130" t="s">
        <v>220</v>
      </c>
      <c r="EG2" s="85" t="s">
        <v>221</v>
      </c>
      <c r="EH2" s="85" t="s">
        <v>221</v>
      </c>
      <c r="EI2" s="85" t="s">
        <v>221</v>
      </c>
      <c r="EJ2" s="85" t="s">
        <v>221</v>
      </c>
      <c r="EK2" s="85" t="s">
        <v>221</v>
      </c>
      <c r="EL2" s="85" t="s">
        <v>221</v>
      </c>
      <c r="EM2" s="85" t="s">
        <v>221</v>
      </c>
      <c r="EN2" s="85" t="s">
        <v>221</v>
      </c>
      <c r="EO2" s="85" t="s">
        <v>221</v>
      </c>
      <c r="EP2" s="85" t="s">
        <v>221</v>
      </c>
      <c r="EQ2" s="85" t="s">
        <v>221</v>
      </c>
      <c r="ER2" s="85" t="s">
        <v>221</v>
      </c>
      <c r="ES2" s="85" t="s">
        <v>221</v>
      </c>
      <c r="ET2" s="85" t="s">
        <v>221</v>
      </c>
      <c r="EU2" s="85" t="s">
        <v>221</v>
      </c>
      <c r="EV2" s="134" t="s">
        <v>220</v>
      </c>
      <c r="EW2" s="134" t="s">
        <v>222</v>
      </c>
      <c r="EX2" s="132" t="s">
        <v>211</v>
      </c>
      <c r="EY2" s="132" t="s">
        <v>212</v>
      </c>
      <c r="EZ2" s="132" t="s">
        <v>213</v>
      </c>
      <c r="FA2" s="132" t="s">
        <v>214</v>
      </c>
      <c r="FB2" s="132" t="s">
        <v>215</v>
      </c>
      <c r="FC2" s="132" t="s">
        <v>216</v>
      </c>
      <c r="FD2" s="128" t="s">
        <v>223</v>
      </c>
      <c r="FE2" s="128" t="s">
        <v>224</v>
      </c>
      <c r="FF2" s="129" t="s">
        <v>225</v>
      </c>
      <c r="FG2" s="129"/>
      <c r="FH2" s="129"/>
      <c r="FI2" s="27" t="s">
        <v>228</v>
      </c>
      <c r="FJ2" s="25" t="s">
        <v>204</v>
      </c>
      <c r="FK2" s="26" t="s">
        <v>205</v>
      </c>
      <c r="FL2" s="86" t="s">
        <v>206</v>
      </c>
      <c r="FM2" s="86" t="s">
        <v>206</v>
      </c>
      <c r="FN2" s="86" t="s">
        <v>206</v>
      </c>
      <c r="FO2" s="86" t="s">
        <v>206</v>
      </c>
      <c r="FP2" s="86" t="s">
        <v>206</v>
      </c>
      <c r="FQ2" s="86" t="s">
        <v>206</v>
      </c>
      <c r="FR2" s="131" t="s">
        <v>207</v>
      </c>
      <c r="FS2" s="85" t="s">
        <v>208</v>
      </c>
      <c r="FT2" s="85" t="s">
        <v>208</v>
      </c>
      <c r="FU2" s="85" t="s">
        <v>208</v>
      </c>
      <c r="FV2" s="85" t="s">
        <v>208</v>
      </c>
      <c r="FW2" s="85" t="s">
        <v>208</v>
      </c>
      <c r="FX2" s="85" t="s">
        <v>208</v>
      </c>
      <c r="FY2" s="85" t="s">
        <v>208</v>
      </c>
      <c r="FZ2" s="85" t="s">
        <v>208</v>
      </c>
      <c r="GA2" s="85" t="s">
        <v>208</v>
      </c>
      <c r="GB2" s="85" t="s">
        <v>208</v>
      </c>
      <c r="GC2" s="85" t="s">
        <v>208</v>
      </c>
      <c r="GD2" s="85" t="s">
        <v>208</v>
      </c>
      <c r="GE2" s="85" t="s">
        <v>208</v>
      </c>
      <c r="GF2" s="85" t="s">
        <v>208</v>
      </c>
      <c r="GG2" s="85" t="s">
        <v>208</v>
      </c>
      <c r="GH2" s="134" t="s">
        <v>209</v>
      </c>
      <c r="GI2" s="134" t="s">
        <v>210</v>
      </c>
      <c r="GJ2" s="132" t="s">
        <v>211</v>
      </c>
      <c r="GK2" s="132" t="s">
        <v>212</v>
      </c>
      <c r="GL2" s="132" t="s">
        <v>213</v>
      </c>
      <c r="GM2" s="132" t="s">
        <v>214</v>
      </c>
      <c r="GN2" s="132" t="s">
        <v>215</v>
      </c>
      <c r="GO2" s="132" t="s">
        <v>216</v>
      </c>
      <c r="GP2" s="128" t="s">
        <v>217</v>
      </c>
      <c r="GQ2" s="128" t="s">
        <v>227</v>
      </c>
      <c r="GR2" s="86" t="s">
        <v>219</v>
      </c>
      <c r="GS2" s="86" t="s">
        <v>219</v>
      </c>
      <c r="GT2" s="86" t="s">
        <v>219</v>
      </c>
      <c r="GU2" s="86" t="s">
        <v>219</v>
      </c>
      <c r="GV2" s="86" t="s">
        <v>219</v>
      </c>
      <c r="GW2" s="86" t="s">
        <v>219</v>
      </c>
      <c r="GX2" s="130" t="s">
        <v>220</v>
      </c>
      <c r="GY2" s="85" t="s">
        <v>221</v>
      </c>
      <c r="GZ2" s="85" t="s">
        <v>221</v>
      </c>
      <c r="HA2" s="85" t="s">
        <v>221</v>
      </c>
      <c r="HB2" s="85" t="s">
        <v>221</v>
      </c>
      <c r="HC2" s="85" t="s">
        <v>221</v>
      </c>
      <c r="HD2" s="85" t="s">
        <v>221</v>
      </c>
      <c r="HE2" s="85" t="s">
        <v>221</v>
      </c>
      <c r="HF2" s="85" t="s">
        <v>221</v>
      </c>
      <c r="HG2" s="85" t="s">
        <v>221</v>
      </c>
      <c r="HH2" s="85" t="s">
        <v>221</v>
      </c>
      <c r="HI2" s="85" t="s">
        <v>221</v>
      </c>
      <c r="HJ2" s="85" t="s">
        <v>221</v>
      </c>
      <c r="HK2" s="85" t="s">
        <v>221</v>
      </c>
      <c r="HL2" s="85" t="s">
        <v>221</v>
      </c>
      <c r="HM2" s="85" t="s">
        <v>221</v>
      </c>
      <c r="HN2" s="134" t="s">
        <v>220</v>
      </c>
      <c r="HO2" s="134" t="s">
        <v>222</v>
      </c>
      <c r="HP2" s="132" t="s">
        <v>211</v>
      </c>
      <c r="HQ2" s="132" t="s">
        <v>212</v>
      </c>
      <c r="HR2" s="132" t="s">
        <v>213</v>
      </c>
      <c r="HS2" s="132" t="s">
        <v>214</v>
      </c>
      <c r="HT2" s="104"/>
      <c r="HU2" s="132" t="s">
        <v>215</v>
      </c>
      <c r="HV2" s="132" t="s">
        <v>216</v>
      </c>
      <c r="HW2" s="128" t="s">
        <v>223</v>
      </c>
      <c r="HX2" s="128" t="s">
        <v>224</v>
      </c>
      <c r="HY2" s="129" t="s">
        <v>225</v>
      </c>
      <c r="HZ2" s="129"/>
      <c r="IA2" s="129"/>
      <c r="IB2" s="27" t="s">
        <v>229</v>
      </c>
      <c r="IC2" s="101" t="s">
        <v>204</v>
      </c>
      <c r="ID2" s="26" t="s">
        <v>205</v>
      </c>
      <c r="IE2" s="86" t="s">
        <v>206</v>
      </c>
      <c r="IF2" s="86" t="s">
        <v>206</v>
      </c>
      <c r="IG2" s="86" t="s">
        <v>206</v>
      </c>
      <c r="IH2" s="86" t="s">
        <v>206</v>
      </c>
      <c r="II2" s="86" t="s">
        <v>206</v>
      </c>
      <c r="IJ2" s="86" t="s">
        <v>206</v>
      </c>
      <c r="IK2" s="131" t="s">
        <v>207</v>
      </c>
      <c r="IL2" s="85" t="s">
        <v>208</v>
      </c>
      <c r="IM2" s="85" t="s">
        <v>208</v>
      </c>
      <c r="IN2" s="85" t="s">
        <v>208</v>
      </c>
      <c r="IO2" s="85" t="s">
        <v>208</v>
      </c>
      <c r="IP2" s="85" t="s">
        <v>208</v>
      </c>
      <c r="IQ2" s="85" t="s">
        <v>208</v>
      </c>
      <c r="IR2" s="85" t="s">
        <v>208</v>
      </c>
      <c r="IS2" s="85" t="s">
        <v>208</v>
      </c>
      <c r="IT2" s="85" t="s">
        <v>208</v>
      </c>
      <c r="IU2" s="85" t="s">
        <v>208</v>
      </c>
      <c r="IV2" s="85" t="s">
        <v>208</v>
      </c>
      <c r="IW2" s="85" t="s">
        <v>208</v>
      </c>
      <c r="IX2" s="85" t="s">
        <v>208</v>
      </c>
      <c r="IY2" s="85" t="s">
        <v>208</v>
      </c>
      <c r="IZ2" s="85" t="s">
        <v>208</v>
      </c>
      <c r="JA2" s="134" t="s">
        <v>209</v>
      </c>
      <c r="JB2" s="134" t="s">
        <v>210</v>
      </c>
      <c r="JC2" s="132" t="s">
        <v>211</v>
      </c>
      <c r="JD2" s="132" t="s">
        <v>212</v>
      </c>
      <c r="JE2" s="132" t="s">
        <v>213</v>
      </c>
      <c r="JF2" s="132" t="s">
        <v>214</v>
      </c>
      <c r="JG2" s="132" t="s">
        <v>215</v>
      </c>
      <c r="JH2" s="132" t="s">
        <v>216</v>
      </c>
      <c r="JI2" s="128" t="s">
        <v>217</v>
      </c>
      <c r="JJ2" s="128" t="s">
        <v>227</v>
      </c>
      <c r="JK2" s="86" t="s">
        <v>219</v>
      </c>
      <c r="JL2" s="86" t="s">
        <v>219</v>
      </c>
      <c r="JM2" s="86" t="s">
        <v>219</v>
      </c>
      <c r="JN2" s="86" t="s">
        <v>219</v>
      </c>
      <c r="JO2" s="86" t="s">
        <v>219</v>
      </c>
      <c r="JP2" s="86" t="s">
        <v>219</v>
      </c>
      <c r="JQ2" s="130" t="s">
        <v>220</v>
      </c>
      <c r="JR2" s="85" t="s">
        <v>221</v>
      </c>
      <c r="JS2" s="85" t="s">
        <v>221</v>
      </c>
      <c r="JT2" s="85" t="s">
        <v>221</v>
      </c>
      <c r="JU2" s="85" t="s">
        <v>221</v>
      </c>
      <c r="JV2" s="85" t="s">
        <v>221</v>
      </c>
      <c r="JW2" s="85" t="s">
        <v>221</v>
      </c>
      <c r="JX2" s="85" t="s">
        <v>221</v>
      </c>
      <c r="JY2" s="85" t="s">
        <v>221</v>
      </c>
      <c r="JZ2" s="85" t="s">
        <v>221</v>
      </c>
      <c r="KA2" s="85" t="s">
        <v>221</v>
      </c>
      <c r="KB2" s="85" t="s">
        <v>221</v>
      </c>
      <c r="KC2" s="85" t="s">
        <v>221</v>
      </c>
      <c r="KD2" s="85" t="s">
        <v>221</v>
      </c>
      <c r="KE2" s="85" t="s">
        <v>221</v>
      </c>
      <c r="KF2" s="85" t="s">
        <v>221</v>
      </c>
      <c r="KG2" s="134" t="s">
        <v>220</v>
      </c>
      <c r="KH2" s="134" t="s">
        <v>222</v>
      </c>
      <c r="KI2" s="132" t="s">
        <v>211</v>
      </c>
      <c r="KJ2" s="132" t="s">
        <v>212</v>
      </c>
      <c r="KK2" s="132" t="s">
        <v>213</v>
      </c>
      <c r="KL2" s="132" t="s">
        <v>214</v>
      </c>
      <c r="KM2" s="132" t="s">
        <v>215</v>
      </c>
      <c r="KN2" s="132" t="s">
        <v>216</v>
      </c>
      <c r="KO2" s="128" t="s">
        <v>223</v>
      </c>
      <c r="KP2" s="128" t="s">
        <v>224</v>
      </c>
      <c r="KQ2" s="129" t="s">
        <v>225</v>
      </c>
      <c r="KR2" s="129"/>
      <c r="KS2" s="129"/>
    </row>
    <row r="3" spans="1:305" s="1" customFormat="1" ht="33">
      <c r="B3" s="2"/>
      <c r="C3" s="2"/>
      <c r="D3" s="18" t="s">
        <v>247</v>
      </c>
      <c r="E3" s="2"/>
      <c r="F3" s="3"/>
      <c r="G3" s="4" t="s">
        <v>23</v>
      </c>
      <c r="H3" s="5"/>
      <c r="I3" s="5"/>
      <c r="J3" s="5"/>
      <c r="K3" s="5"/>
      <c r="L3" s="6" t="s">
        <v>98</v>
      </c>
      <c r="M3" s="6" t="s">
        <v>99</v>
      </c>
      <c r="N3" s="7" t="s">
        <v>198</v>
      </c>
      <c r="O3" s="23" t="s">
        <v>200</v>
      </c>
      <c r="P3" s="23" t="s">
        <v>965</v>
      </c>
      <c r="Q3" s="23" t="s">
        <v>949</v>
      </c>
      <c r="R3" s="23" t="s">
        <v>948</v>
      </c>
      <c r="S3" s="23" t="s">
        <v>201</v>
      </c>
      <c r="T3" s="23" t="s">
        <v>946</v>
      </c>
      <c r="U3" s="23" t="s">
        <v>965</v>
      </c>
      <c r="V3" s="23" t="s">
        <v>949</v>
      </c>
      <c r="W3" s="23" t="s">
        <v>948</v>
      </c>
      <c r="X3" s="23" t="s">
        <v>246</v>
      </c>
      <c r="Y3" s="28" t="s">
        <v>230</v>
      </c>
      <c r="Z3" s="29"/>
      <c r="AA3" s="29"/>
      <c r="AB3" s="30">
        <v>0.25</v>
      </c>
      <c r="AC3" s="30">
        <v>0.5</v>
      </c>
      <c r="AD3" s="30">
        <v>1</v>
      </c>
      <c r="AE3" s="30">
        <v>2</v>
      </c>
      <c r="AF3" s="30">
        <v>3</v>
      </c>
      <c r="AG3" s="30">
        <v>4</v>
      </c>
      <c r="AH3" s="131"/>
      <c r="AI3" s="30">
        <v>0.125</v>
      </c>
      <c r="AJ3" s="30">
        <v>0.25</v>
      </c>
      <c r="AK3" s="30">
        <v>0.5</v>
      </c>
      <c r="AL3" s="30">
        <v>1</v>
      </c>
      <c r="AM3" s="30">
        <v>2</v>
      </c>
      <c r="AN3" s="30">
        <v>3</v>
      </c>
      <c r="AO3" s="30">
        <v>4</v>
      </c>
      <c r="AP3" s="30">
        <v>8</v>
      </c>
      <c r="AQ3" s="30">
        <v>9</v>
      </c>
      <c r="AR3" s="30">
        <v>10</v>
      </c>
      <c r="AS3" s="30">
        <v>12.5</v>
      </c>
      <c r="AT3" s="30">
        <v>14</v>
      </c>
      <c r="AU3" s="30">
        <v>16</v>
      </c>
      <c r="AV3" s="30">
        <v>18</v>
      </c>
      <c r="AW3" s="30">
        <v>20</v>
      </c>
      <c r="AX3" s="134"/>
      <c r="AY3" s="134"/>
      <c r="AZ3" s="132"/>
      <c r="BA3" s="132"/>
      <c r="BB3" s="132"/>
      <c r="BC3" s="132"/>
      <c r="BD3" s="132"/>
      <c r="BE3" s="132"/>
      <c r="BF3" s="128"/>
      <c r="BG3" s="128"/>
      <c r="BH3" s="30">
        <v>0.25</v>
      </c>
      <c r="BI3" s="30">
        <v>0.5</v>
      </c>
      <c r="BJ3" s="30">
        <v>1</v>
      </c>
      <c r="BK3" s="30">
        <v>2</v>
      </c>
      <c r="BL3" s="30">
        <v>3</v>
      </c>
      <c r="BM3" s="30">
        <v>4</v>
      </c>
      <c r="BN3" s="130"/>
      <c r="BO3" s="30">
        <v>0.125</v>
      </c>
      <c r="BP3" s="30">
        <v>0.25</v>
      </c>
      <c r="BQ3" s="30">
        <v>0.5</v>
      </c>
      <c r="BR3" s="30">
        <v>1</v>
      </c>
      <c r="BS3" s="30">
        <v>2</v>
      </c>
      <c r="BT3" s="30">
        <v>3</v>
      </c>
      <c r="BU3" s="30">
        <v>4</v>
      </c>
      <c r="BV3" s="30">
        <v>8</v>
      </c>
      <c r="BW3" s="30">
        <v>9</v>
      </c>
      <c r="BX3" s="30">
        <v>10</v>
      </c>
      <c r="BY3" s="30">
        <v>12.5</v>
      </c>
      <c r="BZ3" s="30">
        <v>14</v>
      </c>
      <c r="CA3" s="30">
        <v>16</v>
      </c>
      <c r="CB3" s="30">
        <v>18</v>
      </c>
      <c r="CC3" s="30">
        <v>20</v>
      </c>
      <c r="CD3" s="134"/>
      <c r="CE3" s="134"/>
      <c r="CF3" s="132"/>
      <c r="CG3" s="132"/>
      <c r="CH3" s="132"/>
      <c r="CI3" s="132"/>
      <c r="CJ3" s="132"/>
      <c r="CK3" s="132"/>
      <c r="CL3" s="128"/>
      <c r="CM3" s="128"/>
      <c r="CN3" s="31" t="s">
        <v>231</v>
      </c>
      <c r="CO3" s="31" t="s">
        <v>232</v>
      </c>
      <c r="CP3" s="31" t="s">
        <v>233</v>
      </c>
      <c r="CQ3" s="28" t="s">
        <v>230</v>
      </c>
      <c r="CR3" s="29"/>
      <c r="CS3" s="29"/>
      <c r="CT3" s="30">
        <v>0.25</v>
      </c>
      <c r="CU3" s="30">
        <v>0.5</v>
      </c>
      <c r="CV3" s="30">
        <v>1</v>
      </c>
      <c r="CW3" s="30">
        <v>2</v>
      </c>
      <c r="CX3" s="30">
        <v>3</v>
      </c>
      <c r="CY3" s="30">
        <v>4</v>
      </c>
      <c r="CZ3" s="131"/>
      <c r="DA3" s="30">
        <v>0.125</v>
      </c>
      <c r="DB3" s="30">
        <v>0.25</v>
      </c>
      <c r="DC3" s="30">
        <v>0.5</v>
      </c>
      <c r="DD3" s="30">
        <v>1</v>
      </c>
      <c r="DE3" s="30">
        <v>2</v>
      </c>
      <c r="DF3" s="30">
        <v>3</v>
      </c>
      <c r="DG3" s="30">
        <v>4</v>
      </c>
      <c r="DH3" s="30">
        <v>8</v>
      </c>
      <c r="DI3" s="30">
        <v>9</v>
      </c>
      <c r="DJ3" s="30">
        <v>10</v>
      </c>
      <c r="DK3" s="30">
        <v>12.5</v>
      </c>
      <c r="DL3" s="30">
        <v>14</v>
      </c>
      <c r="DM3" s="30">
        <v>16</v>
      </c>
      <c r="DN3" s="30">
        <v>18</v>
      </c>
      <c r="DO3" s="30">
        <v>20</v>
      </c>
      <c r="DP3" s="134"/>
      <c r="DQ3" s="134"/>
      <c r="DR3" s="132"/>
      <c r="DS3" s="132"/>
      <c r="DT3" s="132"/>
      <c r="DU3" s="132"/>
      <c r="DV3" s="132"/>
      <c r="DW3" s="132"/>
      <c r="DX3" s="128"/>
      <c r="DY3" s="128"/>
      <c r="DZ3" s="30">
        <v>0.25</v>
      </c>
      <c r="EA3" s="30">
        <v>0.5</v>
      </c>
      <c r="EB3" s="30">
        <v>1</v>
      </c>
      <c r="EC3" s="30">
        <v>2</v>
      </c>
      <c r="ED3" s="30">
        <v>3</v>
      </c>
      <c r="EE3" s="30">
        <v>4</v>
      </c>
      <c r="EF3" s="130"/>
      <c r="EG3" s="30">
        <v>0.125</v>
      </c>
      <c r="EH3" s="30">
        <v>0.25</v>
      </c>
      <c r="EI3" s="30">
        <v>0.5</v>
      </c>
      <c r="EJ3" s="30">
        <v>1</v>
      </c>
      <c r="EK3" s="30">
        <v>2</v>
      </c>
      <c r="EL3" s="30">
        <v>3</v>
      </c>
      <c r="EM3" s="30">
        <v>4</v>
      </c>
      <c r="EN3" s="30">
        <v>8</v>
      </c>
      <c r="EO3" s="30">
        <v>9</v>
      </c>
      <c r="EP3" s="30">
        <v>10</v>
      </c>
      <c r="EQ3" s="30">
        <v>12.5</v>
      </c>
      <c r="ER3" s="30">
        <v>14</v>
      </c>
      <c r="ES3" s="30">
        <v>16</v>
      </c>
      <c r="ET3" s="30">
        <v>18</v>
      </c>
      <c r="EU3" s="30">
        <v>20</v>
      </c>
      <c r="EV3" s="134"/>
      <c r="EW3" s="134"/>
      <c r="EX3" s="132"/>
      <c r="EY3" s="132"/>
      <c r="EZ3" s="132"/>
      <c r="FA3" s="132"/>
      <c r="FB3" s="132"/>
      <c r="FC3" s="132"/>
      <c r="FD3" s="128"/>
      <c r="FE3" s="128"/>
      <c r="FF3" s="31" t="s">
        <v>231</v>
      </c>
      <c r="FG3" s="31" t="s">
        <v>232</v>
      </c>
      <c r="FH3" s="31" t="s">
        <v>233</v>
      </c>
      <c r="FI3" s="28" t="s">
        <v>230</v>
      </c>
      <c r="FJ3" s="29"/>
      <c r="FK3" s="29"/>
      <c r="FL3" s="30">
        <v>0.25</v>
      </c>
      <c r="FM3" s="30">
        <v>0.5</v>
      </c>
      <c r="FN3" s="30">
        <v>1</v>
      </c>
      <c r="FO3" s="30">
        <v>2</v>
      </c>
      <c r="FP3" s="30">
        <v>3</v>
      </c>
      <c r="FQ3" s="30">
        <v>4</v>
      </c>
      <c r="FR3" s="131"/>
      <c r="FS3" s="30">
        <v>0.125</v>
      </c>
      <c r="FT3" s="30">
        <v>0.25</v>
      </c>
      <c r="FU3" s="30">
        <v>0.5</v>
      </c>
      <c r="FV3" s="30">
        <v>1</v>
      </c>
      <c r="FW3" s="30">
        <v>2</v>
      </c>
      <c r="FX3" s="30">
        <v>3</v>
      </c>
      <c r="FY3" s="30">
        <v>4</v>
      </c>
      <c r="FZ3" s="30">
        <v>8</v>
      </c>
      <c r="GA3" s="30">
        <v>9</v>
      </c>
      <c r="GB3" s="30">
        <v>10</v>
      </c>
      <c r="GC3" s="30">
        <v>12.5</v>
      </c>
      <c r="GD3" s="30">
        <v>14</v>
      </c>
      <c r="GE3" s="30">
        <v>16</v>
      </c>
      <c r="GF3" s="30">
        <v>18</v>
      </c>
      <c r="GG3" s="30">
        <v>20</v>
      </c>
      <c r="GH3" s="134"/>
      <c r="GI3" s="134"/>
      <c r="GJ3" s="132"/>
      <c r="GK3" s="132"/>
      <c r="GL3" s="132"/>
      <c r="GM3" s="132"/>
      <c r="GN3" s="132"/>
      <c r="GO3" s="132"/>
      <c r="GP3" s="128"/>
      <c r="GQ3" s="128"/>
      <c r="GR3" s="30">
        <v>0.25</v>
      </c>
      <c r="GS3" s="30">
        <v>0.5</v>
      </c>
      <c r="GT3" s="30">
        <v>1</v>
      </c>
      <c r="GU3" s="30">
        <v>2</v>
      </c>
      <c r="GV3" s="30">
        <v>3</v>
      </c>
      <c r="GW3" s="30">
        <v>4</v>
      </c>
      <c r="GX3" s="130"/>
      <c r="GY3" s="30">
        <v>0.125</v>
      </c>
      <c r="GZ3" s="30">
        <v>0.25</v>
      </c>
      <c r="HA3" s="30">
        <v>0.5</v>
      </c>
      <c r="HB3" s="30">
        <v>1</v>
      </c>
      <c r="HC3" s="30">
        <v>2</v>
      </c>
      <c r="HD3" s="30">
        <v>3</v>
      </c>
      <c r="HE3" s="30">
        <v>4</v>
      </c>
      <c r="HF3" s="30">
        <v>8</v>
      </c>
      <c r="HG3" s="30">
        <v>9</v>
      </c>
      <c r="HH3" s="30">
        <v>10</v>
      </c>
      <c r="HI3" s="30">
        <v>12.5</v>
      </c>
      <c r="HJ3" s="30">
        <v>14</v>
      </c>
      <c r="HK3" s="30">
        <v>16</v>
      </c>
      <c r="HL3" s="30">
        <v>18</v>
      </c>
      <c r="HM3" s="30">
        <v>20</v>
      </c>
      <c r="HN3" s="134"/>
      <c r="HO3" s="134"/>
      <c r="HP3" s="132"/>
      <c r="HQ3" s="132"/>
      <c r="HR3" s="132"/>
      <c r="HS3" s="132"/>
      <c r="HT3" s="104"/>
      <c r="HU3" s="132"/>
      <c r="HV3" s="132"/>
      <c r="HW3" s="128"/>
      <c r="HX3" s="128"/>
      <c r="HY3" s="31" t="s">
        <v>231</v>
      </c>
      <c r="HZ3" s="31" t="s">
        <v>232</v>
      </c>
      <c r="IA3" s="31" t="s">
        <v>233</v>
      </c>
      <c r="IB3" s="28" t="s">
        <v>230</v>
      </c>
      <c r="IC3" s="102"/>
      <c r="ID3" s="29"/>
      <c r="IE3" s="30">
        <v>0.25</v>
      </c>
      <c r="IF3" s="30">
        <v>0.5</v>
      </c>
      <c r="IG3" s="30">
        <v>1</v>
      </c>
      <c r="IH3" s="30">
        <v>2</v>
      </c>
      <c r="II3" s="30">
        <v>3</v>
      </c>
      <c r="IJ3" s="30">
        <v>4</v>
      </c>
      <c r="IK3" s="131"/>
      <c r="IL3" s="30">
        <v>0.125</v>
      </c>
      <c r="IM3" s="30">
        <v>0.25</v>
      </c>
      <c r="IN3" s="30">
        <v>0.5</v>
      </c>
      <c r="IO3" s="30">
        <v>1</v>
      </c>
      <c r="IP3" s="30">
        <v>2</v>
      </c>
      <c r="IQ3" s="30">
        <v>3</v>
      </c>
      <c r="IR3" s="30">
        <v>4</v>
      </c>
      <c r="IS3" s="30">
        <v>8</v>
      </c>
      <c r="IT3" s="30">
        <v>9</v>
      </c>
      <c r="IU3" s="30">
        <v>10</v>
      </c>
      <c r="IV3" s="30">
        <v>12.5</v>
      </c>
      <c r="IW3" s="30">
        <v>14</v>
      </c>
      <c r="IX3" s="30">
        <v>16</v>
      </c>
      <c r="IY3" s="30">
        <v>18</v>
      </c>
      <c r="IZ3" s="30">
        <v>20</v>
      </c>
      <c r="JA3" s="134"/>
      <c r="JB3" s="134"/>
      <c r="JC3" s="132"/>
      <c r="JD3" s="132"/>
      <c r="JE3" s="132"/>
      <c r="JF3" s="132"/>
      <c r="JG3" s="132"/>
      <c r="JH3" s="132"/>
      <c r="JI3" s="128"/>
      <c r="JJ3" s="128"/>
      <c r="JK3" s="30">
        <v>0.25</v>
      </c>
      <c r="JL3" s="30">
        <v>0.5</v>
      </c>
      <c r="JM3" s="30">
        <v>1</v>
      </c>
      <c r="JN3" s="30">
        <v>2</v>
      </c>
      <c r="JO3" s="30">
        <v>3</v>
      </c>
      <c r="JP3" s="30">
        <v>4</v>
      </c>
      <c r="JQ3" s="130"/>
      <c r="JR3" s="30">
        <v>0.125</v>
      </c>
      <c r="JS3" s="30">
        <v>0.25</v>
      </c>
      <c r="JT3" s="30">
        <v>0.5</v>
      </c>
      <c r="JU3" s="30">
        <v>1</v>
      </c>
      <c r="JV3" s="30">
        <v>2</v>
      </c>
      <c r="JW3" s="30">
        <v>3</v>
      </c>
      <c r="JX3" s="30">
        <v>4</v>
      </c>
      <c r="JY3" s="30">
        <v>8</v>
      </c>
      <c r="JZ3" s="30">
        <v>9</v>
      </c>
      <c r="KA3" s="30">
        <v>10</v>
      </c>
      <c r="KB3" s="30">
        <v>12.5</v>
      </c>
      <c r="KC3" s="30">
        <v>14</v>
      </c>
      <c r="KD3" s="30">
        <v>16</v>
      </c>
      <c r="KE3" s="30">
        <v>18</v>
      </c>
      <c r="KF3" s="30">
        <v>20</v>
      </c>
      <c r="KG3" s="134"/>
      <c r="KH3" s="134"/>
      <c r="KI3" s="132"/>
      <c r="KJ3" s="132"/>
      <c r="KK3" s="132"/>
      <c r="KL3" s="132"/>
      <c r="KM3" s="132"/>
      <c r="KN3" s="132"/>
      <c r="KO3" s="128"/>
      <c r="KP3" s="128"/>
      <c r="KQ3" s="31" t="s">
        <v>231</v>
      </c>
      <c r="KR3" s="31" t="s">
        <v>232</v>
      </c>
      <c r="KS3" s="31" t="s">
        <v>233</v>
      </c>
    </row>
    <row r="4" spans="1:305" s="1" customFormat="1" ht="162">
      <c r="B4" s="38"/>
      <c r="C4" s="38"/>
      <c r="D4" s="39"/>
      <c r="E4" s="38"/>
      <c r="F4" s="38"/>
      <c r="G4" s="38"/>
      <c r="H4" s="38"/>
      <c r="I4" s="38"/>
      <c r="J4" s="38"/>
      <c r="K4" s="38"/>
      <c r="L4" s="38"/>
      <c r="M4" s="38"/>
      <c r="N4" s="40"/>
      <c r="O4" s="41"/>
      <c r="P4" s="41"/>
      <c r="Q4" s="135" t="s">
        <v>945</v>
      </c>
      <c r="R4" s="135"/>
      <c r="S4" s="41"/>
      <c r="T4" s="41" t="s">
        <v>947</v>
      </c>
      <c r="U4" s="41"/>
      <c r="V4" s="135" t="s">
        <v>945</v>
      </c>
      <c r="W4" s="135"/>
      <c r="X4" s="41"/>
      <c r="Y4" s="35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6" t="s">
        <v>249</v>
      </c>
      <c r="AZ4" s="36" t="s">
        <v>250</v>
      </c>
      <c r="BA4" s="36" t="s">
        <v>251</v>
      </c>
      <c r="BB4" s="36" t="s">
        <v>252</v>
      </c>
      <c r="BC4" s="36" t="s">
        <v>253</v>
      </c>
      <c r="BD4" s="37" t="s">
        <v>254</v>
      </c>
      <c r="BE4" s="37" t="s">
        <v>255</v>
      </c>
      <c r="BF4" s="37" t="s">
        <v>256</v>
      </c>
      <c r="BG4" s="31" t="s">
        <v>257</v>
      </c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6" t="s">
        <v>258</v>
      </c>
      <c r="CF4" s="36" t="s">
        <v>259</v>
      </c>
      <c r="CG4" s="36" t="s">
        <v>260</v>
      </c>
      <c r="CH4" s="36" t="s">
        <v>261</v>
      </c>
      <c r="CI4" s="36" t="s">
        <v>262</v>
      </c>
      <c r="CJ4" s="37" t="s">
        <v>254</v>
      </c>
      <c r="CK4" s="37" t="s">
        <v>255</v>
      </c>
      <c r="CL4" s="37" t="s">
        <v>256</v>
      </c>
      <c r="CM4" s="31" t="s">
        <v>257</v>
      </c>
      <c r="CN4" s="37" t="s">
        <v>263</v>
      </c>
      <c r="CO4" s="31" t="s">
        <v>264</v>
      </c>
      <c r="CP4" s="31" t="s">
        <v>265</v>
      </c>
      <c r="CQ4" s="35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6" t="s">
        <v>258</v>
      </c>
      <c r="DR4" s="36" t="s">
        <v>259</v>
      </c>
      <c r="DS4" s="36" t="s">
        <v>260</v>
      </c>
      <c r="DT4" s="36" t="s">
        <v>261</v>
      </c>
      <c r="DU4" s="36" t="s">
        <v>262</v>
      </c>
      <c r="DV4" s="37" t="s">
        <v>254</v>
      </c>
      <c r="DW4" s="37" t="s">
        <v>255</v>
      </c>
      <c r="DX4" s="37" t="s">
        <v>256</v>
      </c>
      <c r="DY4" s="31" t="s">
        <v>257</v>
      </c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6" t="s">
        <v>258</v>
      </c>
      <c r="EX4" s="36" t="s">
        <v>259</v>
      </c>
      <c r="EY4" s="36" t="s">
        <v>260</v>
      </c>
      <c r="EZ4" s="36" t="s">
        <v>261</v>
      </c>
      <c r="FA4" s="36" t="s">
        <v>262</v>
      </c>
      <c r="FB4" s="37" t="s">
        <v>254</v>
      </c>
      <c r="FC4" s="37" t="s">
        <v>255</v>
      </c>
      <c r="FD4" s="37" t="s">
        <v>256</v>
      </c>
      <c r="FE4" s="31" t="s">
        <v>257</v>
      </c>
      <c r="FF4" s="37" t="s">
        <v>266</v>
      </c>
      <c r="FG4" s="31" t="s">
        <v>267</v>
      </c>
      <c r="FH4" s="31" t="s">
        <v>268</v>
      </c>
      <c r="FI4" s="35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6" t="s">
        <v>258</v>
      </c>
      <c r="GJ4" s="36" t="s">
        <v>259</v>
      </c>
      <c r="GK4" s="36" t="s">
        <v>260</v>
      </c>
      <c r="GL4" s="36" t="s">
        <v>261</v>
      </c>
      <c r="GM4" s="36" t="s">
        <v>262</v>
      </c>
      <c r="GN4" s="37" t="s">
        <v>254</v>
      </c>
      <c r="GO4" s="37" t="s">
        <v>255</v>
      </c>
      <c r="GP4" s="37" t="s">
        <v>256</v>
      </c>
      <c r="GQ4" s="31" t="s">
        <v>257</v>
      </c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6" t="s">
        <v>258</v>
      </c>
      <c r="HP4" s="36" t="s">
        <v>259</v>
      </c>
      <c r="HQ4" s="36" t="s">
        <v>260</v>
      </c>
      <c r="HR4" s="36" t="s">
        <v>261</v>
      </c>
      <c r="HS4" s="36" t="s">
        <v>262</v>
      </c>
      <c r="HT4" s="36"/>
      <c r="HU4" s="37" t="s">
        <v>254</v>
      </c>
      <c r="HV4" s="37" t="s">
        <v>255</v>
      </c>
      <c r="HW4" s="37" t="s">
        <v>256</v>
      </c>
      <c r="HX4" s="31" t="s">
        <v>257</v>
      </c>
      <c r="HY4" s="37" t="s">
        <v>269</v>
      </c>
      <c r="HZ4" s="31" t="s">
        <v>270</v>
      </c>
      <c r="IA4" s="31" t="s">
        <v>271</v>
      </c>
      <c r="IB4" s="35"/>
      <c r="IC4" s="84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6" t="s">
        <v>258</v>
      </c>
      <c r="JC4" s="36" t="s">
        <v>259</v>
      </c>
      <c r="JD4" s="36" t="s">
        <v>260</v>
      </c>
      <c r="JE4" s="36" t="s">
        <v>261</v>
      </c>
      <c r="JF4" s="36" t="s">
        <v>262</v>
      </c>
      <c r="JG4" s="37" t="s">
        <v>254</v>
      </c>
      <c r="JH4" s="37" t="s">
        <v>255</v>
      </c>
      <c r="JI4" s="37" t="s">
        <v>256</v>
      </c>
      <c r="JJ4" s="31" t="s">
        <v>257</v>
      </c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6" t="s">
        <v>258</v>
      </c>
      <c r="KI4" s="36" t="s">
        <v>259</v>
      </c>
      <c r="KJ4" s="36" t="s">
        <v>260</v>
      </c>
      <c r="KK4" s="36" t="s">
        <v>261</v>
      </c>
      <c r="KL4" s="36" t="s">
        <v>262</v>
      </c>
      <c r="KM4" s="37" t="s">
        <v>254</v>
      </c>
      <c r="KN4" s="37" t="s">
        <v>255</v>
      </c>
      <c r="KO4" s="37" t="s">
        <v>256</v>
      </c>
      <c r="KP4" s="31" t="s">
        <v>257</v>
      </c>
      <c r="KQ4" s="37" t="s">
        <v>272</v>
      </c>
      <c r="KR4" s="31" t="s">
        <v>273</v>
      </c>
      <c r="KS4" s="31" t="s">
        <v>274</v>
      </c>
    </row>
    <row r="5" spans="1:305" s="1" customFormat="1" hidden="1">
      <c r="A5" s="1" t="s">
        <v>869</v>
      </c>
      <c r="B5" s="91">
        <v>59</v>
      </c>
      <c r="C5" s="95" t="str">
        <f>LOOKUP(B5,{0,20,30,40,50,60},{"10","20","30","40","50","60","70","80","90"})</f>
        <v>50</v>
      </c>
      <c r="D5" s="91" t="s">
        <v>888</v>
      </c>
      <c r="E5" s="38"/>
      <c r="F5" s="94">
        <v>44838</v>
      </c>
      <c r="G5" s="95"/>
      <c r="H5" s="95" t="s">
        <v>115</v>
      </c>
      <c r="I5" s="90">
        <v>44908</v>
      </c>
      <c r="K5" s="91" t="s">
        <v>930</v>
      </c>
      <c r="L5" s="96"/>
      <c r="M5" s="96"/>
      <c r="N5" s="97"/>
      <c r="O5" s="98">
        <v>44907</v>
      </c>
      <c r="P5" s="98"/>
      <c r="Q5" s="98"/>
      <c r="R5" s="98"/>
      <c r="S5" s="92">
        <v>45012</v>
      </c>
      <c r="T5" s="92">
        <v>45096</v>
      </c>
      <c r="U5" s="92"/>
      <c r="V5" s="92"/>
      <c r="W5" s="92"/>
      <c r="X5" s="92">
        <v>45266</v>
      </c>
      <c r="Y5" s="92">
        <v>44908</v>
      </c>
      <c r="Z5" s="30">
        <f t="shared" ref="Z5:Z11" si="0">Y5-I5</f>
        <v>0</v>
      </c>
      <c r="AA5" s="30"/>
      <c r="AB5" s="30">
        <v>0</v>
      </c>
      <c r="AC5" s="30">
        <v>15</v>
      </c>
      <c r="AD5" s="30">
        <v>10</v>
      </c>
      <c r="AE5" s="30">
        <v>35</v>
      </c>
      <c r="AF5" s="31" t="s">
        <v>234</v>
      </c>
      <c r="AG5" s="30">
        <v>15</v>
      </c>
      <c r="AH5" s="33">
        <v>17.5</v>
      </c>
      <c r="AI5" s="30">
        <v>45</v>
      </c>
      <c r="AJ5" s="30">
        <v>35</v>
      </c>
      <c r="AK5" s="30">
        <v>35</v>
      </c>
      <c r="AL5" s="30">
        <v>20</v>
      </c>
      <c r="AM5" s="30">
        <v>40</v>
      </c>
      <c r="AN5" s="30">
        <v>45</v>
      </c>
      <c r="AO5" s="30">
        <v>60</v>
      </c>
      <c r="AP5" s="30">
        <v>90</v>
      </c>
      <c r="AQ5" s="31" t="s">
        <v>234</v>
      </c>
      <c r="AR5" s="31" t="s">
        <v>234</v>
      </c>
      <c r="AS5" s="31" t="s">
        <v>234</v>
      </c>
      <c r="AT5" s="31" t="s">
        <v>234</v>
      </c>
      <c r="AU5" s="31" t="s">
        <v>234</v>
      </c>
      <c r="AV5" s="31" t="s">
        <v>234</v>
      </c>
      <c r="AW5" s="31" t="s">
        <v>234</v>
      </c>
      <c r="AX5" s="33">
        <v>28.75</v>
      </c>
      <c r="AY5" s="33">
        <v>49</v>
      </c>
      <c r="AZ5" s="33">
        <v>38.333333333333336</v>
      </c>
      <c r="BA5" s="33">
        <v>30</v>
      </c>
      <c r="BB5" s="33">
        <v>65</v>
      </c>
      <c r="BC5" s="33">
        <v>35</v>
      </c>
      <c r="BD5" s="34">
        <v>3</v>
      </c>
      <c r="BE5" s="33">
        <v>1</v>
      </c>
      <c r="BF5" s="30">
        <v>30</v>
      </c>
      <c r="BG5" s="30">
        <v>100</v>
      </c>
      <c r="BH5" s="30">
        <v>0</v>
      </c>
      <c r="BI5" s="30">
        <v>5</v>
      </c>
      <c r="BJ5" s="30">
        <v>5</v>
      </c>
      <c r="BK5" s="30">
        <v>30</v>
      </c>
      <c r="BL5" s="30">
        <v>25</v>
      </c>
      <c r="BM5" s="30">
        <v>20</v>
      </c>
      <c r="BN5" s="33">
        <v>11.25</v>
      </c>
      <c r="BO5" s="30">
        <v>25</v>
      </c>
      <c r="BP5" s="30">
        <v>30</v>
      </c>
      <c r="BQ5" s="30">
        <v>25</v>
      </c>
      <c r="BR5" s="30">
        <v>30</v>
      </c>
      <c r="BS5" s="30">
        <v>55</v>
      </c>
      <c r="BT5" s="30">
        <v>40</v>
      </c>
      <c r="BU5" s="30">
        <v>40</v>
      </c>
      <c r="BV5" s="30">
        <v>80</v>
      </c>
      <c r="BW5" s="31" t="s">
        <v>234</v>
      </c>
      <c r="BX5" s="31" t="s">
        <v>234</v>
      </c>
      <c r="BY5" s="31" t="s">
        <v>234</v>
      </c>
      <c r="BZ5" s="31" t="s">
        <v>234</v>
      </c>
      <c r="CA5" s="31" t="s">
        <v>234</v>
      </c>
      <c r="CB5" s="31" t="s">
        <v>234</v>
      </c>
      <c r="CC5" s="31" t="s">
        <v>234</v>
      </c>
      <c r="CD5" s="33">
        <v>35</v>
      </c>
      <c r="CE5" s="33">
        <v>46</v>
      </c>
      <c r="CF5" s="33">
        <v>26.666666666666668</v>
      </c>
      <c r="CG5" s="33">
        <v>42.5</v>
      </c>
      <c r="CH5" s="33">
        <v>53.333333333333336</v>
      </c>
      <c r="CI5" s="33">
        <v>37.5</v>
      </c>
      <c r="CJ5" s="30">
        <v>3</v>
      </c>
      <c r="CK5" s="33">
        <v>1</v>
      </c>
      <c r="CL5" s="30">
        <v>35</v>
      </c>
      <c r="CM5" s="30">
        <v>90</v>
      </c>
      <c r="CN5" s="30"/>
      <c r="CO5" s="30"/>
      <c r="CP5" s="30" t="s">
        <v>932</v>
      </c>
      <c r="CQ5" s="32">
        <v>45016</v>
      </c>
      <c r="CR5" s="30">
        <f t="shared" ref="CR5:CR11" si="1">CQ5-I5</f>
        <v>108</v>
      </c>
      <c r="CS5" s="30"/>
      <c r="CT5" s="30">
        <v>15</v>
      </c>
      <c r="CU5" s="30">
        <v>25</v>
      </c>
      <c r="CV5" s="30">
        <v>20</v>
      </c>
      <c r="CW5" s="30">
        <v>40</v>
      </c>
      <c r="CX5" s="30">
        <v>35</v>
      </c>
      <c r="CY5" s="30">
        <v>25</v>
      </c>
      <c r="CZ5" s="33">
        <v>26.25</v>
      </c>
      <c r="DA5" s="30">
        <v>30</v>
      </c>
      <c r="DB5" s="30">
        <v>25</v>
      </c>
      <c r="DC5" s="30">
        <v>25</v>
      </c>
      <c r="DD5" s="30">
        <v>20</v>
      </c>
      <c r="DE5" s="30">
        <v>40</v>
      </c>
      <c r="DF5" s="30">
        <v>45</v>
      </c>
      <c r="DG5" s="30">
        <v>45</v>
      </c>
      <c r="DH5" s="30">
        <v>85</v>
      </c>
      <c r="DI5" s="30" t="s">
        <v>277</v>
      </c>
      <c r="DJ5" s="30" t="s">
        <v>277</v>
      </c>
      <c r="DK5" s="30" t="s">
        <v>277</v>
      </c>
      <c r="DL5" s="30" t="s">
        <v>277</v>
      </c>
      <c r="DM5" s="30" t="s">
        <v>277</v>
      </c>
      <c r="DN5" s="30" t="s">
        <v>277</v>
      </c>
      <c r="DO5" s="30" t="s">
        <v>277</v>
      </c>
      <c r="DP5" s="33">
        <v>26.25</v>
      </c>
      <c r="DQ5" s="33">
        <v>43</v>
      </c>
      <c r="DR5" s="33">
        <v>26.666666666666668</v>
      </c>
      <c r="DS5" s="33">
        <v>30</v>
      </c>
      <c r="DT5" s="33">
        <v>58.333333333333336</v>
      </c>
      <c r="DU5" s="33">
        <v>32.5</v>
      </c>
      <c r="DV5" s="30">
        <v>3</v>
      </c>
      <c r="DW5" s="33">
        <v>1</v>
      </c>
      <c r="DX5" s="30">
        <v>30</v>
      </c>
      <c r="DY5" s="30">
        <v>100</v>
      </c>
      <c r="DZ5" s="30">
        <v>5</v>
      </c>
      <c r="EA5" s="30">
        <v>15</v>
      </c>
      <c r="EB5" s="30">
        <v>20</v>
      </c>
      <c r="EC5" s="30">
        <v>40</v>
      </c>
      <c r="ED5" s="30">
        <v>40</v>
      </c>
      <c r="EE5" s="30">
        <v>25</v>
      </c>
      <c r="EF5" s="33">
        <v>23.75</v>
      </c>
      <c r="EG5" s="30">
        <v>20</v>
      </c>
      <c r="EH5" s="30">
        <v>25</v>
      </c>
      <c r="EI5" s="30">
        <v>25</v>
      </c>
      <c r="EJ5" s="30">
        <v>25</v>
      </c>
      <c r="EK5" s="30">
        <v>50</v>
      </c>
      <c r="EL5" s="30">
        <v>45</v>
      </c>
      <c r="EM5" s="30">
        <v>45</v>
      </c>
      <c r="EN5" s="30">
        <v>80</v>
      </c>
      <c r="EO5" s="30" t="s">
        <v>277</v>
      </c>
      <c r="EP5" s="30" t="s">
        <v>277</v>
      </c>
      <c r="EQ5" s="30" t="s">
        <v>277</v>
      </c>
      <c r="ER5" s="30" t="s">
        <v>277</v>
      </c>
      <c r="ES5" s="30" t="s">
        <v>277</v>
      </c>
      <c r="ET5" s="30" t="s">
        <v>277</v>
      </c>
      <c r="EU5" s="30" t="s">
        <v>277</v>
      </c>
      <c r="EV5" s="33">
        <v>31.25</v>
      </c>
      <c r="EW5" s="33">
        <v>45</v>
      </c>
      <c r="EX5" s="33">
        <v>23.333333333333332</v>
      </c>
      <c r="EY5" s="33">
        <v>37.5</v>
      </c>
      <c r="EZ5" s="33">
        <v>56.666666666666664</v>
      </c>
      <c r="FA5" s="33">
        <v>36.25</v>
      </c>
      <c r="FB5" s="30">
        <v>3</v>
      </c>
      <c r="FC5" s="33">
        <v>1</v>
      </c>
      <c r="FD5" s="30">
        <v>30</v>
      </c>
      <c r="FE5" s="30">
        <v>100</v>
      </c>
      <c r="FF5" s="30" t="s">
        <v>933</v>
      </c>
      <c r="FG5" s="30" t="s">
        <v>934</v>
      </c>
      <c r="FH5" s="30"/>
      <c r="FI5" s="32">
        <v>45096</v>
      </c>
      <c r="FJ5" s="30">
        <f t="shared" ref="FJ5:FJ11" si="2">FI5-I5</f>
        <v>188</v>
      </c>
      <c r="FK5" s="30"/>
      <c r="FL5" s="30">
        <v>20</v>
      </c>
      <c r="FM5" s="30">
        <v>25</v>
      </c>
      <c r="FN5" s="30">
        <v>20</v>
      </c>
      <c r="FO5" s="30">
        <v>30</v>
      </c>
      <c r="FP5" s="30">
        <v>30</v>
      </c>
      <c r="FQ5" s="30">
        <v>25</v>
      </c>
      <c r="FR5" s="33">
        <v>23.75</v>
      </c>
      <c r="FS5" s="30">
        <v>35</v>
      </c>
      <c r="FT5" s="30">
        <v>25</v>
      </c>
      <c r="FU5" s="30">
        <v>25</v>
      </c>
      <c r="FV5" s="30">
        <v>20</v>
      </c>
      <c r="FW5" s="30">
        <v>30</v>
      </c>
      <c r="FX5" s="30">
        <v>30</v>
      </c>
      <c r="FY5" s="30">
        <v>40</v>
      </c>
      <c r="FZ5" s="30">
        <v>70</v>
      </c>
      <c r="GA5" s="30" t="s">
        <v>234</v>
      </c>
      <c r="GB5" s="30" t="s">
        <v>234</v>
      </c>
      <c r="GC5" s="30" t="s">
        <v>234</v>
      </c>
      <c r="GD5" s="30" t="s">
        <v>234</v>
      </c>
      <c r="GE5" s="30" t="s">
        <v>234</v>
      </c>
      <c r="GF5" s="30" t="s">
        <v>234</v>
      </c>
      <c r="GG5" s="30" t="s">
        <v>234</v>
      </c>
      <c r="GH5" s="33">
        <v>23.75</v>
      </c>
      <c r="GI5" s="33">
        <v>37</v>
      </c>
      <c r="GJ5" s="33">
        <v>28.333333333333332</v>
      </c>
      <c r="GK5" s="33">
        <v>25</v>
      </c>
      <c r="GL5" s="33">
        <v>46.666666666666664</v>
      </c>
      <c r="GM5" s="33">
        <v>26.25</v>
      </c>
      <c r="GN5" s="30">
        <v>3</v>
      </c>
      <c r="GO5" s="33">
        <v>1</v>
      </c>
      <c r="GP5" s="30">
        <v>25</v>
      </c>
      <c r="GQ5" s="30">
        <v>100</v>
      </c>
      <c r="GR5" s="30">
        <v>10</v>
      </c>
      <c r="GS5" s="30">
        <v>20</v>
      </c>
      <c r="GT5" s="30">
        <v>20</v>
      </c>
      <c r="GU5" s="30">
        <v>45</v>
      </c>
      <c r="GV5" s="30">
        <v>40</v>
      </c>
      <c r="GW5" s="30">
        <v>30</v>
      </c>
      <c r="GX5" s="30">
        <v>26.25</v>
      </c>
      <c r="GY5" s="30">
        <v>30</v>
      </c>
      <c r="GZ5" s="30">
        <v>30</v>
      </c>
      <c r="HA5" s="30">
        <v>20</v>
      </c>
      <c r="HB5" s="30">
        <v>20</v>
      </c>
      <c r="HC5" s="30">
        <v>45</v>
      </c>
      <c r="HD5" s="30">
        <v>40</v>
      </c>
      <c r="HE5" s="30">
        <v>45</v>
      </c>
      <c r="HF5" s="30">
        <v>75</v>
      </c>
      <c r="HG5" s="30" t="s">
        <v>277</v>
      </c>
      <c r="HH5" s="30" t="s">
        <v>277</v>
      </c>
      <c r="HI5" s="30" t="s">
        <v>277</v>
      </c>
      <c r="HJ5" s="30" t="s">
        <v>277</v>
      </c>
      <c r="HK5" s="30" t="s">
        <v>277</v>
      </c>
      <c r="HL5" s="30" t="s">
        <v>277</v>
      </c>
      <c r="HM5" s="30" t="s">
        <v>277</v>
      </c>
      <c r="HN5" s="30">
        <v>26.25</v>
      </c>
      <c r="HO5" s="30">
        <v>41</v>
      </c>
      <c r="HP5" s="30">
        <v>26.666666666666668</v>
      </c>
      <c r="HQ5" s="30">
        <v>32.5</v>
      </c>
      <c r="HR5" s="30">
        <v>53.333333333333336</v>
      </c>
      <c r="HS5" s="30">
        <v>31.25</v>
      </c>
      <c r="HT5" s="30">
        <f>HS5-CI5</f>
        <v>-6.25</v>
      </c>
      <c r="HU5" s="30">
        <v>3</v>
      </c>
      <c r="HV5" s="30">
        <v>1</v>
      </c>
      <c r="HW5" s="30">
        <v>30</v>
      </c>
      <c r="HX5" s="30">
        <v>100</v>
      </c>
      <c r="HY5" s="30" t="s">
        <v>935</v>
      </c>
      <c r="HZ5" s="30" t="s">
        <v>936</v>
      </c>
      <c r="IA5" s="30"/>
      <c r="IB5" s="89"/>
      <c r="IC5" s="84">
        <f t="shared" ref="IC5:IC11" si="3">IB5-I5</f>
        <v>-44908</v>
      </c>
      <c r="ID5" s="30"/>
      <c r="IE5" s="30"/>
      <c r="IF5" s="30"/>
      <c r="IG5" s="30"/>
      <c r="IH5" s="30"/>
      <c r="II5" s="30"/>
      <c r="IJ5" s="30"/>
      <c r="IK5" s="30">
        <v>0</v>
      </c>
      <c r="IL5" s="30"/>
      <c r="IM5" s="30"/>
      <c r="IN5" s="30"/>
      <c r="IO5" s="30"/>
      <c r="IP5" s="30"/>
      <c r="IQ5" s="30"/>
      <c r="IR5" s="30"/>
      <c r="IS5" s="30"/>
      <c r="IT5" s="30" t="s">
        <v>277</v>
      </c>
      <c r="IU5" s="30" t="s">
        <v>277</v>
      </c>
      <c r="IV5" s="30" t="s">
        <v>277</v>
      </c>
      <c r="IW5" s="30" t="s">
        <v>277</v>
      </c>
      <c r="IX5" s="30" t="s">
        <v>277</v>
      </c>
      <c r="IY5" s="30" t="s">
        <v>277</v>
      </c>
      <c r="IZ5" s="30" t="s">
        <v>277</v>
      </c>
      <c r="JA5" s="30">
        <v>0</v>
      </c>
      <c r="JB5" s="30" t="e">
        <v>#DIV/0!</v>
      </c>
      <c r="JC5" s="30" t="e">
        <v>#DIV/0!</v>
      </c>
      <c r="JD5" s="30" t="e">
        <v>#DIV/0!</v>
      </c>
      <c r="JE5" s="30" t="e">
        <v>#DIV/0!</v>
      </c>
      <c r="JF5" s="30" t="e">
        <v>#DIV/0!</v>
      </c>
      <c r="JG5" s="30" t="e">
        <v>#DIV/0!</v>
      </c>
      <c r="JH5" s="30" t="e">
        <v>#DIV/0!</v>
      </c>
      <c r="JI5" s="30"/>
      <c r="JJ5" s="30"/>
      <c r="JK5" s="30"/>
      <c r="JL5" s="30"/>
      <c r="JM5" s="30"/>
      <c r="JN5" s="30"/>
      <c r="JO5" s="30"/>
      <c r="JP5" s="30"/>
      <c r="JQ5" s="30">
        <v>0</v>
      </c>
      <c r="JR5" s="30"/>
      <c r="JS5" s="30"/>
      <c r="JT5" s="30"/>
      <c r="JU5" s="30"/>
      <c r="JV5" s="30"/>
      <c r="JW5" s="30"/>
      <c r="JX5" s="30"/>
      <c r="JY5" s="30"/>
      <c r="JZ5" s="30" t="s">
        <v>277</v>
      </c>
      <c r="KA5" s="30" t="s">
        <v>277</v>
      </c>
      <c r="KB5" s="30" t="s">
        <v>277</v>
      </c>
      <c r="KC5" s="30" t="s">
        <v>277</v>
      </c>
      <c r="KD5" s="30" t="s">
        <v>277</v>
      </c>
      <c r="KE5" s="30" t="s">
        <v>277</v>
      </c>
      <c r="KF5" s="30" t="s">
        <v>277</v>
      </c>
      <c r="KG5" s="30">
        <v>0</v>
      </c>
      <c r="KH5" s="30" t="e">
        <v>#DIV/0!</v>
      </c>
      <c r="KI5" s="30" t="e">
        <v>#DIV/0!</v>
      </c>
      <c r="KJ5" s="30" t="e">
        <v>#DIV/0!</v>
      </c>
      <c r="KK5" s="30" t="e">
        <v>#DIV/0!</v>
      </c>
      <c r="KL5" s="30" t="e">
        <v>#DIV/0!</v>
      </c>
      <c r="KM5" s="30" t="e">
        <v>#DIV/0!</v>
      </c>
      <c r="KN5" s="30" t="e">
        <v>#DIV/0!</v>
      </c>
      <c r="KO5" s="30"/>
      <c r="KP5" s="30"/>
      <c r="KQ5" s="30"/>
      <c r="KR5" s="30"/>
      <c r="KS5" s="30"/>
    </row>
    <row r="6" spans="1:305" s="1" customFormat="1" hidden="1">
      <c r="A6" s="1" t="s">
        <v>870</v>
      </c>
      <c r="B6" s="91">
        <v>54</v>
      </c>
      <c r="C6" s="95" t="str">
        <f>LOOKUP(B6,{0,20,30,40,50,60},{"10","20","30","40","50","60","70","80","90"})</f>
        <v>50</v>
      </c>
      <c r="D6" s="91" t="s">
        <v>888</v>
      </c>
      <c r="E6" s="38"/>
      <c r="F6" s="94">
        <v>44881</v>
      </c>
      <c r="G6" s="94">
        <v>44872</v>
      </c>
      <c r="H6" s="95" t="s">
        <v>115</v>
      </c>
      <c r="I6" s="90">
        <v>44917</v>
      </c>
      <c r="K6" s="91" t="s">
        <v>931</v>
      </c>
      <c r="L6" s="96"/>
      <c r="M6" s="96"/>
      <c r="N6" s="97"/>
      <c r="O6" s="98">
        <v>44916</v>
      </c>
      <c r="P6" s="98"/>
      <c r="Q6" s="98"/>
      <c r="R6" s="98"/>
      <c r="S6" s="92">
        <v>45021</v>
      </c>
      <c r="T6" s="92">
        <v>45119</v>
      </c>
      <c r="U6" s="92"/>
      <c r="V6" s="92"/>
      <c r="W6" s="92"/>
      <c r="X6" s="92">
        <v>45294</v>
      </c>
      <c r="Y6" s="92">
        <v>44916</v>
      </c>
      <c r="Z6" s="30">
        <f t="shared" si="0"/>
        <v>-1</v>
      </c>
      <c r="AA6" s="30"/>
      <c r="AB6" s="30">
        <v>5</v>
      </c>
      <c r="AC6" s="30">
        <v>20</v>
      </c>
      <c r="AD6" s="30">
        <v>5</v>
      </c>
      <c r="AE6" s="30">
        <v>10</v>
      </c>
      <c r="AF6" s="30">
        <v>5</v>
      </c>
      <c r="AG6" s="30">
        <v>0</v>
      </c>
      <c r="AH6" s="33">
        <v>10</v>
      </c>
      <c r="AI6" s="30">
        <v>35</v>
      </c>
      <c r="AJ6" s="30">
        <v>25</v>
      </c>
      <c r="AK6" s="30">
        <v>20</v>
      </c>
      <c r="AL6" s="30">
        <v>25</v>
      </c>
      <c r="AM6" s="30">
        <v>20</v>
      </c>
      <c r="AN6" s="30">
        <v>20</v>
      </c>
      <c r="AO6" s="30">
        <v>20</v>
      </c>
      <c r="AP6" s="30">
        <v>40</v>
      </c>
      <c r="AQ6" s="31" t="s">
        <v>234</v>
      </c>
      <c r="AR6" s="31" t="s">
        <v>234</v>
      </c>
      <c r="AS6" s="31" t="s">
        <v>234</v>
      </c>
      <c r="AT6" s="31" t="s">
        <v>234</v>
      </c>
      <c r="AU6" s="31" t="s">
        <v>234</v>
      </c>
      <c r="AV6" s="31" t="s">
        <v>234</v>
      </c>
      <c r="AW6" s="31" t="s">
        <v>234</v>
      </c>
      <c r="AX6" s="33">
        <v>22.5</v>
      </c>
      <c r="AY6" s="33">
        <v>25</v>
      </c>
      <c r="AZ6" s="33">
        <v>26.666666666666668</v>
      </c>
      <c r="BA6" s="33">
        <v>22.5</v>
      </c>
      <c r="BB6" s="33">
        <v>26.666666666666668</v>
      </c>
      <c r="BC6" s="33">
        <v>21.25</v>
      </c>
      <c r="BD6" s="34" t="s">
        <v>235</v>
      </c>
      <c r="BE6" s="33">
        <v>1</v>
      </c>
      <c r="BF6" s="30">
        <v>25</v>
      </c>
      <c r="BG6" s="30">
        <v>100</v>
      </c>
      <c r="BH6" s="30">
        <v>15</v>
      </c>
      <c r="BI6" s="30">
        <v>15</v>
      </c>
      <c r="BJ6" s="30">
        <v>5</v>
      </c>
      <c r="BK6" s="30">
        <v>10</v>
      </c>
      <c r="BL6" s="30">
        <v>10</v>
      </c>
      <c r="BM6" s="30">
        <v>10</v>
      </c>
      <c r="BN6" s="33">
        <v>8.75</v>
      </c>
      <c r="BO6" s="30">
        <v>20</v>
      </c>
      <c r="BP6" s="30">
        <v>20</v>
      </c>
      <c r="BQ6" s="30">
        <v>15</v>
      </c>
      <c r="BR6" s="30">
        <v>5</v>
      </c>
      <c r="BS6" s="30">
        <v>10</v>
      </c>
      <c r="BT6" s="30">
        <v>10</v>
      </c>
      <c r="BU6" s="30">
        <v>15</v>
      </c>
      <c r="BV6" s="30">
        <v>35</v>
      </c>
      <c r="BW6" s="31" t="s">
        <v>234</v>
      </c>
      <c r="BX6" s="31" t="s">
        <v>234</v>
      </c>
      <c r="BY6" s="31" t="s">
        <v>234</v>
      </c>
      <c r="BZ6" s="31" t="s">
        <v>234</v>
      </c>
      <c r="CA6" s="31" t="s">
        <v>234</v>
      </c>
      <c r="CB6" s="31" t="s">
        <v>234</v>
      </c>
      <c r="CC6" s="31" t="s">
        <v>234</v>
      </c>
      <c r="CD6" s="33">
        <v>8.75</v>
      </c>
      <c r="CE6" s="33">
        <v>16</v>
      </c>
      <c r="CF6" s="33">
        <v>18.333333333333332</v>
      </c>
      <c r="CG6" s="33">
        <v>7.5</v>
      </c>
      <c r="CH6" s="33">
        <v>20</v>
      </c>
      <c r="CI6" s="33">
        <v>10</v>
      </c>
      <c r="CJ6" s="31" t="s">
        <v>235</v>
      </c>
      <c r="CK6" s="33">
        <v>0</v>
      </c>
      <c r="CL6" s="30">
        <v>15</v>
      </c>
      <c r="CM6" s="30">
        <v>100</v>
      </c>
      <c r="CN6" s="30"/>
      <c r="CO6" s="30"/>
      <c r="CP6" s="30" t="s">
        <v>937</v>
      </c>
      <c r="CQ6" s="32">
        <v>45016</v>
      </c>
      <c r="CR6" s="30">
        <f t="shared" si="1"/>
        <v>99</v>
      </c>
      <c r="CS6" s="30"/>
      <c r="CT6" s="30">
        <v>0</v>
      </c>
      <c r="CU6" s="30">
        <v>5</v>
      </c>
      <c r="CV6" s="30">
        <v>10</v>
      </c>
      <c r="CW6" s="30">
        <v>10</v>
      </c>
      <c r="CX6" s="30">
        <v>15</v>
      </c>
      <c r="CY6" s="30">
        <v>20</v>
      </c>
      <c r="CZ6" s="33">
        <v>8.75</v>
      </c>
      <c r="DA6" s="30">
        <v>30</v>
      </c>
      <c r="DB6" s="30">
        <v>20</v>
      </c>
      <c r="DC6" s="30">
        <v>15</v>
      </c>
      <c r="DD6" s="30">
        <v>10</v>
      </c>
      <c r="DE6" s="30">
        <v>10</v>
      </c>
      <c r="DF6" s="30">
        <v>20</v>
      </c>
      <c r="DG6" s="30">
        <v>40</v>
      </c>
      <c r="DH6" s="30">
        <v>45</v>
      </c>
      <c r="DI6" s="30" t="s">
        <v>277</v>
      </c>
      <c r="DJ6" s="30" t="s">
        <v>277</v>
      </c>
      <c r="DK6" s="30" t="s">
        <v>277</v>
      </c>
      <c r="DL6" s="30" t="s">
        <v>277</v>
      </c>
      <c r="DM6" s="30" t="s">
        <v>277</v>
      </c>
      <c r="DN6" s="30" t="s">
        <v>277</v>
      </c>
      <c r="DO6" s="30" t="s">
        <v>277</v>
      </c>
      <c r="DP6" s="33">
        <v>11.25</v>
      </c>
      <c r="DQ6" s="33">
        <v>24</v>
      </c>
      <c r="DR6" s="33">
        <v>21.666666666666668</v>
      </c>
      <c r="DS6" s="33">
        <v>10</v>
      </c>
      <c r="DT6" s="33">
        <v>35</v>
      </c>
      <c r="DU6" s="33">
        <v>13.75</v>
      </c>
      <c r="DV6" s="30">
        <v>3</v>
      </c>
      <c r="DW6" s="33">
        <v>0</v>
      </c>
      <c r="DX6" s="30">
        <v>20</v>
      </c>
      <c r="DY6" s="30">
        <v>100</v>
      </c>
      <c r="DZ6" s="30">
        <v>20</v>
      </c>
      <c r="EA6" s="30">
        <v>10</v>
      </c>
      <c r="EB6" s="30">
        <v>5</v>
      </c>
      <c r="EC6" s="30">
        <v>10</v>
      </c>
      <c r="ED6" s="30">
        <v>10</v>
      </c>
      <c r="EE6" s="30">
        <v>10</v>
      </c>
      <c r="EF6" s="33">
        <v>7.5</v>
      </c>
      <c r="EG6" s="30">
        <v>20</v>
      </c>
      <c r="EH6" s="30">
        <v>20</v>
      </c>
      <c r="EI6" s="30">
        <v>10</v>
      </c>
      <c r="EJ6" s="30">
        <v>5</v>
      </c>
      <c r="EK6" s="30">
        <v>10</v>
      </c>
      <c r="EL6" s="30">
        <v>10</v>
      </c>
      <c r="EM6" s="30">
        <v>10</v>
      </c>
      <c r="EN6" s="30">
        <v>40</v>
      </c>
      <c r="EO6" s="30" t="s">
        <v>277</v>
      </c>
      <c r="EP6" s="30" t="s">
        <v>277</v>
      </c>
      <c r="EQ6" s="30" t="s">
        <v>277</v>
      </c>
      <c r="ER6" s="30" t="s">
        <v>277</v>
      </c>
      <c r="ES6" s="30" t="s">
        <v>277</v>
      </c>
      <c r="ET6" s="30" t="s">
        <v>277</v>
      </c>
      <c r="EU6" s="30" t="s">
        <v>277</v>
      </c>
      <c r="EV6" s="33">
        <v>7.5</v>
      </c>
      <c r="EW6" s="33">
        <v>15</v>
      </c>
      <c r="EX6" s="33">
        <v>16.666666666666668</v>
      </c>
      <c r="EY6" s="33">
        <v>7.5</v>
      </c>
      <c r="EZ6" s="33">
        <v>20</v>
      </c>
      <c r="FA6" s="33">
        <v>8.75</v>
      </c>
      <c r="FB6" s="30">
        <v>3</v>
      </c>
      <c r="FC6" s="33">
        <v>0</v>
      </c>
      <c r="FD6" s="30">
        <v>15</v>
      </c>
      <c r="FE6" s="30">
        <v>100</v>
      </c>
      <c r="FF6" s="30" t="s">
        <v>938</v>
      </c>
      <c r="FG6" s="30" t="s">
        <v>939</v>
      </c>
      <c r="FH6" s="30"/>
      <c r="FI6" s="32">
        <v>45119</v>
      </c>
      <c r="FJ6" s="30">
        <f t="shared" si="2"/>
        <v>202</v>
      </c>
      <c r="FK6" s="30"/>
      <c r="FL6" s="30">
        <v>0</v>
      </c>
      <c r="FM6" s="30">
        <v>15</v>
      </c>
      <c r="FN6" s="30">
        <v>10</v>
      </c>
      <c r="FO6" s="30">
        <v>15</v>
      </c>
      <c r="FP6" s="30">
        <v>20</v>
      </c>
      <c r="FQ6" s="30">
        <v>25</v>
      </c>
      <c r="FR6" s="33">
        <v>12.5</v>
      </c>
      <c r="FS6" s="30">
        <v>30</v>
      </c>
      <c r="FT6" s="30">
        <v>25</v>
      </c>
      <c r="FU6" s="30">
        <v>15</v>
      </c>
      <c r="FV6" s="30">
        <v>10</v>
      </c>
      <c r="FW6" s="30">
        <v>15</v>
      </c>
      <c r="FX6" s="30">
        <v>20</v>
      </c>
      <c r="FY6" s="30">
        <v>40</v>
      </c>
      <c r="FZ6" s="30">
        <v>50</v>
      </c>
      <c r="GA6" s="30" t="s">
        <v>234</v>
      </c>
      <c r="GB6" s="30" t="s">
        <v>234</v>
      </c>
      <c r="GC6" s="30" t="s">
        <v>234</v>
      </c>
      <c r="GD6" s="30" t="s">
        <v>234</v>
      </c>
      <c r="GE6" s="30" t="s">
        <v>234</v>
      </c>
      <c r="GF6" s="30" t="s">
        <v>234</v>
      </c>
      <c r="GG6" s="30" t="s">
        <v>234</v>
      </c>
      <c r="GH6" s="33">
        <v>12.5</v>
      </c>
      <c r="GI6" s="33">
        <v>26</v>
      </c>
      <c r="GJ6" s="33">
        <v>23.333333333333332</v>
      </c>
      <c r="GK6" s="33">
        <v>12.5</v>
      </c>
      <c r="GL6" s="33">
        <v>36.666666666666664</v>
      </c>
      <c r="GM6" s="33">
        <v>15</v>
      </c>
      <c r="GN6" s="30" t="s">
        <v>235</v>
      </c>
      <c r="GO6" s="33">
        <v>0</v>
      </c>
      <c r="GP6" s="30">
        <v>25</v>
      </c>
      <c r="GQ6" s="30">
        <v>100</v>
      </c>
      <c r="GR6" s="30">
        <v>15</v>
      </c>
      <c r="GS6" s="30">
        <v>10</v>
      </c>
      <c r="GT6" s="30">
        <v>5</v>
      </c>
      <c r="GU6" s="30">
        <v>10</v>
      </c>
      <c r="GV6" s="30">
        <v>5</v>
      </c>
      <c r="GW6" s="30">
        <v>10</v>
      </c>
      <c r="GX6" s="30">
        <v>7.5</v>
      </c>
      <c r="GY6" s="30">
        <v>25</v>
      </c>
      <c r="GZ6" s="30">
        <v>15</v>
      </c>
      <c r="HA6" s="30">
        <v>10</v>
      </c>
      <c r="HB6" s="30">
        <v>5</v>
      </c>
      <c r="HC6" s="30">
        <v>10</v>
      </c>
      <c r="HD6" s="30">
        <v>5</v>
      </c>
      <c r="HE6" s="30">
        <v>15</v>
      </c>
      <c r="HF6" s="30">
        <v>30</v>
      </c>
      <c r="HG6" s="30" t="s">
        <v>277</v>
      </c>
      <c r="HH6" s="30" t="s">
        <v>277</v>
      </c>
      <c r="HI6" s="30" t="s">
        <v>277</v>
      </c>
      <c r="HJ6" s="30" t="s">
        <v>277</v>
      </c>
      <c r="HK6" s="30" t="s">
        <v>277</v>
      </c>
      <c r="HL6" s="30" t="s">
        <v>277</v>
      </c>
      <c r="HM6" s="30" t="s">
        <v>277</v>
      </c>
      <c r="HN6" s="30">
        <v>7.5</v>
      </c>
      <c r="HO6" s="30">
        <v>14</v>
      </c>
      <c r="HP6" s="30">
        <v>16.666666666666668</v>
      </c>
      <c r="HQ6" s="30">
        <v>7.5</v>
      </c>
      <c r="HR6" s="30">
        <v>16.666666666666668</v>
      </c>
      <c r="HS6" s="30">
        <v>7.5</v>
      </c>
      <c r="HT6" s="30"/>
      <c r="HU6" s="30" t="s">
        <v>235</v>
      </c>
      <c r="HV6" s="30">
        <v>0</v>
      </c>
      <c r="HW6" s="30">
        <v>15</v>
      </c>
      <c r="HX6" s="30">
        <v>100</v>
      </c>
      <c r="HY6" s="30" t="s">
        <v>940</v>
      </c>
      <c r="HZ6" s="30" t="s">
        <v>941</v>
      </c>
      <c r="IA6" s="30"/>
      <c r="IB6" s="32">
        <v>45294</v>
      </c>
      <c r="IC6" s="84">
        <f t="shared" si="3"/>
        <v>377</v>
      </c>
      <c r="ID6" s="30"/>
      <c r="IE6" s="30">
        <v>10</v>
      </c>
      <c r="IF6" s="30">
        <v>15</v>
      </c>
      <c r="IG6" s="30">
        <v>10</v>
      </c>
      <c r="IH6" s="30">
        <v>10</v>
      </c>
      <c r="II6" s="30">
        <v>10</v>
      </c>
      <c r="IJ6" s="30">
        <v>25</v>
      </c>
      <c r="IK6" s="30">
        <v>11.25</v>
      </c>
      <c r="IL6" s="30">
        <v>25</v>
      </c>
      <c r="IM6" s="30">
        <v>20</v>
      </c>
      <c r="IN6" s="30">
        <v>15</v>
      </c>
      <c r="IO6" s="30">
        <v>10</v>
      </c>
      <c r="IP6" s="30">
        <v>10</v>
      </c>
      <c r="IQ6" s="30">
        <v>10</v>
      </c>
      <c r="IR6" s="30">
        <v>25</v>
      </c>
      <c r="IS6" s="30">
        <v>40</v>
      </c>
      <c r="IT6" s="30" t="s">
        <v>277</v>
      </c>
      <c r="IU6" s="30" t="s">
        <v>277</v>
      </c>
      <c r="IV6" s="30" t="s">
        <v>277</v>
      </c>
      <c r="IW6" s="30" t="s">
        <v>277</v>
      </c>
      <c r="IX6" s="30" t="s">
        <v>277</v>
      </c>
      <c r="IY6" s="30" t="s">
        <v>277</v>
      </c>
      <c r="IZ6" s="30" t="s">
        <v>277</v>
      </c>
      <c r="JA6" s="30">
        <v>11.25</v>
      </c>
      <c r="JB6" s="30">
        <v>20</v>
      </c>
      <c r="JC6" s="30">
        <v>20</v>
      </c>
      <c r="JD6" s="30">
        <v>10</v>
      </c>
      <c r="JE6" s="30">
        <v>25</v>
      </c>
      <c r="JF6" s="30">
        <v>11.25</v>
      </c>
      <c r="JG6" s="30" t="s">
        <v>235</v>
      </c>
      <c r="JH6" s="30">
        <v>0</v>
      </c>
      <c r="JI6" s="30">
        <v>10</v>
      </c>
      <c r="JJ6" s="30">
        <v>100</v>
      </c>
      <c r="JK6" s="30">
        <v>20</v>
      </c>
      <c r="JL6" s="30">
        <v>10</v>
      </c>
      <c r="JM6" s="30">
        <v>5</v>
      </c>
      <c r="JN6" s="30">
        <v>10</v>
      </c>
      <c r="JO6" s="30">
        <v>5</v>
      </c>
      <c r="JP6" s="30">
        <v>10</v>
      </c>
      <c r="JQ6" s="30">
        <v>7.5</v>
      </c>
      <c r="JR6" s="30">
        <v>30</v>
      </c>
      <c r="JS6" s="30">
        <v>20</v>
      </c>
      <c r="JT6" s="30">
        <v>10</v>
      </c>
      <c r="JU6" s="30">
        <v>5</v>
      </c>
      <c r="JV6" s="30">
        <v>10</v>
      </c>
      <c r="JW6" s="30">
        <v>5</v>
      </c>
      <c r="JX6" s="30">
        <v>10</v>
      </c>
      <c r="JY6" s="30">
        <v>30</v>
      </c>
      <c r="JZ6" s="30" t="s">
        <v>277</v>
      </c>
      <c r="KA6" s="30" t="s">
        <v>277</v>
      </c>
      <c r="KB6" s="30" t="s">
        <v>277</v>
      </c>
      <c r="KC6" s="30" t="s">
        <v>277</v>
      </c>
      <c r="KD6" s="30" t="s">
        <v>277</v>
      </c>
      <c r="KE6" s="30" t="s">
        <v>277</v>
      </c>
      <c r="KF6" s="30" t="s">
        <v>277</v>
      </c>
      <c r="KG6" s="30">
        <v>7.5</v>
      </c>
      <c r="KH6" s="30">
        <v>13</v>
      </c>
      <c r="KI6" s="30">
        <v>20</v>
      </c>
      <c r="KJ6" s="30">
        <v>7.5</v>
      </c>
      <c r="KK6" s="30">
        <v>15</v>
      </c>
      <c r="KL6" s="30">
        <v>7.5</v>
      </c>
      <c r="KM6" s="30">
        <v>6</v>
      </c>
      <c r="KN6" s="30">
        <v>0</v>
      </c>
      <c r="KO6" s="30">
        <v>10</v>
      </c>
      <c r="KP6" s="30">
        <v>100</v>
      </c>
      <c r="KQ6" s="30" t="s">
        <v>942</v>
      </c>
      <c r="KR6" s="30" t="s">
        <v>943</v>
      </c>
      <c r="KS6" s="30"/>
    </row>
    <row r="7" spans="1:305" hidden="1">
      <c r="A7" s="1" t="s">
        <v>871</v>
      </c>
      <c r="B7" s="91">
        <v>45</v>
      </c>
      <c r="C7" s="95" t="str">
        <f>LOOKUP(B7,{0,20,30,40,50,60},{"10","20","30","40","50","60","70","80","90"})</f>
        <v>40</v>
      </c>
      <c r="D7" s="91" t="s">
        <v>888</v>
      </c>
      <c r="E7" s="1"/>
      <c r="F7" s="99">
        <v>44449</v>
      </c>
      <c r="G7" s="100"/>
      <c r="H7" s="95" t="s">
        <v>115</v>
      </c>
      <c r="I7" s="90">
        <v>44931</v>
      </c>
      <c r="J7" s="1"/>
      <c r="K7" s="91" t="s">
        <v>731</v>
      </c>
      <c r="L7" s="100"/>
      <c r="M7" s="100"/>
      <c r="N7" s="100"/>
      <c r="O7" s="99">
        <v>44930</v>
      </c>
      <c r="P7" s="99"/>
      <c r="Q7" s="99"/>
      <c r="R7" s="99"/>
      <c r="S7" s="92">
        <v>45049</v>
      </c>
      <c r="T7" s="92">
        <v>45112</v>
      </c>
      <c r="U7" s="92"/>
      <c r="V7" s="92"/>
      <c r="W7" s="92"/>
      <c r="X7" s="92">
        <v>45299</v>
      </c>
      <c r="Y7" s="92">
        <v>44909</v>
      </c>
      <c r="Z7" s="30">
        <f t="shared" si="0"/>
        <v>-22</v>
      </c>
      <c r="AA7" s="30"/>
      <c r="AB7" s="30">
        <v>10</v>
      </c>
      <c r="AC7" s="30">
        <v>25</v>
      </c>
      <c r="AD7" s="30">
        <v>5</v>
      </c>
      <c r="AE7" s="30">
        <v>30</v>
      </c>
      <c r="AF7" s="30">
        <v>75</v>
      </c>
      <c r="AG7" s="30">
        <v>70</v>
      </c>
      <c r="AH7" s="33">
        <v>16.25</v>
      </c>
      <c r="AI7" s="30">
        <v>40</v>
      </c>
      <c r="AJ7" s="30">
        <v>30</v>
      </c>
      <c r="AK7" s="30">
        <v>25</v>
      </c>
      <c r="AL7" s="30">
        <v>40</v>
      </c>
      <c r="AM7" s="30">
        <v>40</v>
      </c>
      <c r="AN7" s="30">
        <v>75</v>
      </c>
      <c r="AO7" s="30">
        <v>70</v>
      </c>
      <c r="AP7" s="47">
        <v>110</v>
      </c>
      <c r="AQ7" s="31" t="s">
        <v>234</v>
      </c>
      <c r="AR7" s="31" t="s">
        <v>234</v>
      </c>
      <c r="AS7" s="31" t="s">
        <v>234</v>
      </c>
      <c r="AT7" s="31" t="s">
        <v>234</v>
      </c>
      <c r="AU7" s="31" t="s">
        <v>234</v>
      </c>
      <c r="AV7" s="31" t="s">
        <v>234</v>
      </c>
      <c r="AW7" s="31" t="s">
        <v>234</v>
      </c>
      <c r="AX7" s="33">
        <v>36.25</v>
      </c>
      <c r="AY7" s="33">
        <v>57</v>
      </c>
      <c r="AZ7" s="33">
        <v>31.666666666666668</v>
      </c>
      <c r="BA7" s="33">
        <v>40</v>
      </c>
      <c r="BB7" s="33">
        <v>85</v>
      </c>
      <c r="BC7" s="33">
        <v>45</v>
      </c>
      <c r="BD7" s="34">
        <v>3</v>
      </c>
      <c r="BE7" s="33">
        <v>2</v>
      </c>
      <c r="BF7" s="30">
        <v>40</v>
      </c>
      <c r="BG7" s="30">
        <v>100</v>
      </c>
      <c r="BH7" s="30">
        <v>10</v>
      </c>
      <c r="BI7" s="30">
        <v>20</v>
      </c>
      <c r="BJ7" s="30">
        <v>20</v>
      </c>
      <c r="BK7" s="30">
        <v>25</v>
      </c>
      <c r="BL7" s="30">
        <v>25</v>
      </c>
      <c r="BM7" s="30">
        <v>5</v>
      </c>
      <c r="BN7" s="33">
        <v>21.25</v>
      </c>
      <c r="BO7" s="30">
        <v>25</v>
      </c>
      <c r="BP7" s="30">
        <v>15</v>
      </c>
      <c r="BQ7" s="30">
        <v>20</v>
      </c>
      <c r="BR7" s="30">
        <v>35</v>
      </c>
      <c r="BS7" s="30">
        <v>35</v>
      </c>
      <c r="BT7" s="30">
        <v>25</v>
      </c>
      <c r="BU7" s="30">
        <v>15</v>
      </c>
      <c r="BV7" s="30">
        <v>35</v>
      </c>
      <c r="BW7" s="31" t="s">
        <v>234</v>
      </c>
      <c r="BX7" s="31" t="s">
        <v>234</v>
      </c>
      <c r="BY7" s="31" t="s">
        <v>234</v>
      </c>
      <c r="BZ7" s="31" t="s">
        <v>234</v>
      </c>
      <c r="CA7" s="31" t="s">
        <v>234</v>
      </c>
      <c r="CB7" s="31" t="s">
        <v>234</v>
      </c>
      <c r="CC7" s="31" t="s">
        <v>234</v>
      </c>
      <c r="CD7" s="33">
        <v>31.25</v>
      </c>
      <c r="CE7" s="33">
        <v>28</v>
      </c>
      <c r="CF7" s="33">
        <v>20</v>
      </c>
      <c r="CG7" s="33">
        <v>35</v>
      </c>
      <c r="CH7" s="33">
        <v>25</v>
      </c>
      <c r="CI7" s="33">
        <v>28.75</v>
      </c>
      <c r="CJ7" s="30">
        <v>3</v>
      </c>
      <c r="CK7" s="33">
        <v>1</v>
      </c>
      <c r="CL7" s="30">
        <v>30</v>
      </c>
      <c r="CM7" s="30">
        <v>100</v>
      </c>
      <c r="CN7" s="30" t="s">
        <v>737</v>
      </c>
      <c r="CO7" s="31" t="s">
        <v>738</v>
      </c>
      <c r="CP7" s="30"/>
      <c r="CQ7" s="32">
        <v>45049</v>
      </c>
      <c r="CR7" s="30">
        <f t="shared" si="1"/>
        <v>118</v>
      </c>
      <c r="CS7" s="30"/>
      <c r="CT7" s="30">
        <v>0</v>
      </c>
      <c r="CU7" s="30">
        <v>5</v>
      </c>
      <c r="CV7" s="30">
        <v>10</v>
      </c>
      <c r="CW7" s="30">
        <v>25</v>
      </c>
      <c r="CX7" s="42">
        <v>85</v>
      </c>
      <c r="CY7" s="42">
        <v>85</v>
      </c>
      <c r="CZ7" s="33">
        <v>12.5</v>
      </c>
      <c r="DA7" s="30">
        <v>20</v>
      </c>
      <c r="DB7" s="30">
        <v>20</v>
      </c>
      <c r="DC7" s="30">
        <v>15</v>
      </c>
      <c r="DD7" s="30">
        <v>25</v>
      </c>
      <c r="DE7" s="30">
        <v>25</v>
      </c>
      <c r="DF7" s="30">
        <v>105</v>
      </c>
      <c r="DG7" s="30">
        <v>115</v>
      </c>
      <c r="DH7" s="30">
        <v>100</v>
      </c>
      <c r="DI7" s="30" t="s">
        <v>277</v>
      </c>
      <c r="DJ7" s="30" t="s">
        <v>277</v>
      </c>
      <c r="DK7" s="30" t="s">
        <v>277</v>
      </c>
      <c r="DL7" s="30" t="s">
        <v>277</v>
      </c>
      <c r="DM7" s="30" t="s">
        <v>277</v>
      </c>
      <c r="DN7" s="30" t="s">
        <v>277</v>
      </c>
      <c r="DO7" s="30" t="s">
        <v>277</v>
      </c>
      <c r="DP7" s="33">
        <v>22.5</v>
      </c>
      <c r="DQ7" s="33">
        <v>56</v>
      </c>
      <c r="DR7" s="33">
        <v>18.333333333333332</v>
      </c>
      <c r="DS7" s="33">
        <v>25</v>
      </c>
      <c r="DT7" s="33">
        <v>106.66666666666667</v>
      </c>
      <c r="DU7" s="33">
        <v>42.5</v>
      </c>
      <c r="DV7" s="30">
        <v>6</v>
      </c>
      <c r="DW7" s="33">
        <v>2</v>
      </c>
      <c r="DX7" s="30">
        <v>25</v>
      </c>
      <c r="DY7" s="30">
        <v>100</v>
      </c>
      <c r="DZ7" s="30">
        <v>5</v>
      </c>
      <c r="EA7" s="30">
        <v>20</v>
      </c>
      <c r="EB7" s="30">
        <v>10</v>
      </c>
      <c r="EC7" s="30">
        <v>25</v>
      </c>
      <c r="ED7" s="30">
        <v>20</v>
      </c>
      <c r="EE7" s="30">
        <v>15</v>
      </c>
      <c r="EF7" s="33">
        <v>16.25</v>
      </c>
      <c r="EG7" s="30">
        <v>20</v>
      </c>
      <c r="EH7" s="30">
        <v>15</v>
      </c>
      <c r="EI7" s="30">
        <v>20</v>
      </c>
      <c r="EJ7" s="30">
        <v>35</v>
      </c>
      <c r="EK7" s="30">
        <v>30</v>
      </c>
      <c r="EL7" s="30">
        <v>20</v>
      </c>
      <c r="EM7" s="30">
        <v>15</v>
      </c>
      <c r="EN7" s="30">
        <v>50</v>
      </c>
      <c r="EO7" s="30" t="s">
        <v>277</v>
      </c>
      <c r="EP7" s="30" t="s">
        <v>277</v>
      </c>
      <c r="EQ7" s="30" t="s">
        <v>277</v>
      </c>
      <c r="ER7" s="30" t="s">
        <v>277</v>
      </c>
      <c r="ES7" s="30" t="s">
        <v>277</v>
      </c>
      <c r="ET7" s="30" t="s">
        <v>277</v>
      </c>
      <c r="EU7" s="30" t="s">
        <v>277</v>
      </c>
      <c r="EV7" s="33">
        <v>30</v>
      </c>
      <c r="EW7" s="33">
        <v>30</v>
      </c>
      <c r="EX7" s="33">
        <v>18.333333333333332</v>
      </c>
      <c r="EY7" s="33">
        <v>32.5</v>
      </c>
      <c r="EZ7" s="33">
        <v>28.333333333333332</v>
      </c>
      <c r="FA7" s="33">
        <v>26.25</v>
      </c>
      <c r="FB7" s="30">
        <v>6</v>
      </c>
      <c r="FC7" s="33">
        <v>1</v>
      </c>
      <c r="FD7" s="30">
        <v>30</v>
      </c>
      <c r="FE7" s="30">
        <v>100</v>
      </c>
      <c r="FF7" s="30" t="s">
        <v>739</v>
      </c>
      <c r="FG7" s="30" t="s">
        <v>740</v>
      </c>
      <c r="FH7" s="30"/>
      <c r="FI7" s="32">
        <v>45111</v>
      </c>
      <c r="FJ7" s="30">
        <f t="shared" si="2"/>
        <v>180</v>
      </c>
      <c r="FK7" s="30"/>
      <c r="FL7" s="30">
        <v>5</v>
      </c>
      <c r="FM7" s="30">
        <v>20</v>
      </c>
      <c r="FN7" s="30">
        <v>20</v>
      </c>
      <c r="FO7" s="30">
        <v>20</v>
      </c>
      <c r="FP7" s="42">
        <v>85</v>
      </c>
      <c r="FQ7" s="42">
        <v>85</v>
      </c>
      <c r="FR7" s="33">
        <v>20</v>
      </c>
      <c r="FS7" s="30">
        <v>25</v>
      </c>
      <c r="FT7" s="30">
        <v>20</v>
      </c>
      <c r="FU7" s="30">
        <v>20</v>
      </c>
      <c r="FV7" s="30">
        <v>20</v>
      </c>
      <c r="FW7" s="30">
        <v>20</v>
      </c>
      <c r="FX7" s="30">
        <v>100</v>
      </c>
      <c r="FY7" s="30">
        <v>110</v>
      </c>
      <c r="FZ7" s="30">
        <v>100</v>
      </c>
      <c r="GA7" s="30" t="s">
        <v>234</v>
      </c>
      <c r="GB7" s="30" t="s">
        <v>234</v>
      </c>
      <c r="GC7" s="30" t="s">
        <v>234</v>
      </c>
      <c r="GD7" s="30" t="s">
        <v>234</v>
      </c>
      <c r="GE7" s="30" t="s">
        <v>234</v>
      </c>
      <c r="GF7" s="30" t="s">
        <v>234</v>
      </c>
      <c r="GG7" s="30" t="s">
        <v>234</v>
      </c>
      <c r="GH7" s="33">
        <v>20</v>
      </c>
      <c r="GI7" s="33">
        <v>54</v>
      </c>
      <c r="GJ7" s="33">
        <v>21.666666666666668</v>
      </c>
      <c r="GK7" s="33">
        <v>20</v>
      </c>
      <c r="GL7" s="33">
        <v>103.33333333333333</v>
      </c>
      <c r="GM7" s="33">
        <v>40</v>
      </c>
      <c r="GN7" s="30">
        <v>6</v>
      </c>
      <c r="GO7" s="33">
        <v>1</v>
      </c>
      <c r="GP7" s="30">
        <v>30</v>
      </c>
      <c r="GQ7" s="30">
        <v>100</v>
      </c>
      <c r="GR7" s="30">
        <v>10</v>
      </c>
      <c r="GS7" s="30">
        <v>20</v>
      </c>
      <c r="GT7" s="30">
        <v>20</v>
      </c>
      <c r="GU7" s="30">
        <v>25</v>
      </c>
      <c r="GV7" s="30">
        <v>20</v>
      </c>
      <c r="GW7" s="30">
        <v>15</v>
      </c>
      <c r="GX7" s="30">
        <v>21.25</v>
      </c>
      <c r="GY7" s="30">
        <v>20</v>
      </c>
      <c r="GZ7" s="30">
        <v>15</v>
      </c>
      <c r="HA7" s="30">
        <v>20</v>
      </c>
      <c r="HB7" s="30">
        <v>35</v>
      </c>
      <c r="HC7" s="30">
        <v>30</v>
      </c>
      <c r="HD7" s="30">
        <v>25</v>
      </c>
      <c r="HE7" s="30">
        <v>25</v>
      </c>
      <c r="HF7" s="30">
        <v>40</v>
      </c>
      <c r="HG7" s="30" t="s">
        <v>277</v>
      </c>
      <c r="HH7" s="30" t="s">
        <v>277</v>
      </c>
      <c r="HI7" s="30" t="s">
        <v>277</v>
      </c>
      <c r="HJ7" s="30" t="s">
        <v>277</v>
      </c>
      <c r="HK7" s="30" t="s">
        <v>277</v>
      </c>
      <c r="HL7" s="30" t="s">
        <v>277</v>
      </c>
      <c r="HM7" s="30" t="s">
        <v>277</v>
      </c>
      <c r="HN7" s="30">
        <v>30</v>
      </c>
      <c r="HO7" s="30">
        <v>30</v>
      </c>
      <c r="HP7" s="30">
        <v>18.333333333333332</v>
      </c>
      <c r="HQ7" s="30">
        <v>32.5</v>
      </c>
      <c r="HR7" s="30">
        <v>30</v>
      </c>
      <c r="HS7" s="30">
        <v>27.5</v>
      </c>
      <c r="HT7" s="30"/>
      <c r="HU7" s="30">
        <v>6</v>
      </c>
      <c r="HV7" s="30">
        <v>1</v>
      </c>
      <c r="HW7" s="30">
        <v>25</v>
      </c>
      <c r="HX7" s="30">
        <v>100</v>
      </c>
      <c r="HY7" s="30" t="s">
        <v>741</v>
      </c>
      <c r="HZ7" s="30" t="s">
        <v>742</v>
      </c>
      <c r="IA7" s="30"/>
      <c r="IB7" s="32">
        <v>45299</v>
      </c>
      <c r="IC7" s="84">
        <f t="shared" si="3"/>
        <v>368</v>
      </c>
      <c r="ID7" s="30"/>
      <c r="IE7" s="30">
        <v>10</v>
      </c>
      <c r="IF7" s="30">
        <v>20</v>
      </c>
      <c r="IG7" s="30">
        <v>25</v>
      </c>
      <c r="IH7" s="30">
        <v>15</v>
      </c>
      <c r="II7" s="42">
        <v>85</v>
      </c>
      <c r="IJ7" s="42">
        <v>85</v>
      </c>
      <c r="IK7" s="30">
        <v>21.25</v>
      </c>
      <c r="IL7" s="30">
        <v>30</v>
      </c>
      <c r="IM7" s="30">
        <v>20</v>
      </c>
      <c r="IN7" s="30">
        <v>20</v>
      </c>
      <c r="IO7" s="30">
        <v>25</v>
      </c>
      <c r="IP7" s="30">
        <v>15</v>
      </c>
      <c r="IQ7" s="30">
        <v>105</v>
      </c>
      <c r="IR7" s="30">
        <v>110</v>
      </c>
      <c r="IS7" s="30">
        <v>100</v>
      </c>
      <c r="IT7" s="30" t="s">
        <v>277</v>
      </c>
      <c r="IU7" s="30" t="s">
        <v>277</v>
      </c>
      <c r="IV7" s="30" t="s">
        <v>277</v>
      </c>
      <c r="IW7" s="30" t="s">
        <v>277</v>
      </c>
      <c r="IX7" s="30" t="s">
        <v>277</v>
      </c>
      <c r="IY7" s="30" t="s">
        <v>277</v>
      </c>
      <c r="IZ7" s="30" t="s">
        <v>277</v>
      </c>
      <c r="JA7" s="30">
        <v>21.25</v>
      </c>
      <c r="JB7" s="30">
        <v>54</v>
      </c>
      <c r="JC7" s="30">
        <v>23.333333333333332</v>
      </c>
      <c r="JD7" s="30">
        <v>20</v>
      </c>
      <c r="JE7" s="30">
        <v>105</v>
      </c>
      <c r="JF7" s="30">
        <v>41.25</v>
      </c>
      <c r="JG7" s="30">
        <v>6</v>
      </c>
      <c r="JH7" s="30">
        <v>2</v>
      </c>
      <c r="JI7" s="30">
        <v>25</v>
      </c>
      <c r="JJ7" s="30">
        <v>100</v>
      </c>
      <c r="JK7" s="30">
        <v>15</v>
      </c>
      <c r="JL7" s="30">
        <v>25</v>
      </c>
      <c r="JM7" s="30">
        <v>25</v>
      </c>
      <c r="JN7" s="30">
        <v>35</v>
      </c>
      <c r="JO7" s="30">
        <v>25</v>
      </c>
      <c r="JP7" s="30">
        <v>20</v>
      </c>
      <c r="JQ7" s="30">
        <v>27.5</v>
      </c>
      <c r="JR7" s="30">
        <v>20</v>
      </c>
      <c r="JS7" s="30">
        <v>15</v>
      </c>
      <c r="JT7" s="30">
        <v>25</v>
      </c>
      <c r="JU7" s="30">
        <v>35</v>
      </c>
      <c r="JV7" s="30">
        <v>35</v>
      </c>
      <c r="JW7" s="30">
        <v>25</v>
      </c>
      <c r="JX7" s="30">
        <v>20</v>
      </c>
      <c r="JY7" s="30">
        <v>40</v>
      </c>
      <c r="JZ7" s="30" t="s">
        <v>277</v>
      </c>
      <c r="KA7" s="30" t="s">
        <v>277</v>
      </c>
      <c r="KB7" s="30" t="s">
        <v>277</v>
      </c>
      <c r="KC7" s="30" t="s">
        <v>277</v>
      </c>
      <c r="KD7" s="30" t="s">
        <v>277</v>
      </c>
      <c r="KE7" s="30" t="s">
        <v>277</v>
      </c>
      <c r="KF7" s="30" t="s">
        <v>277</v>
      </c>
      <c r="KG7" s="30">
        <v>32.5</v>
      </c>
      <c r="KH7" s="30">
        <v>31</v>
      </c>
      <c r="KI7" s="30">
        <v>20</v>
      </c>
      <c r="KJ7" s="30">
        <v>35</v>
      </c>
      <c r="KK7" s="30">
        <v>28.333333333333332</v>
      </c>
      <c r="KL7" s="30">
        <v>30</v>
      </c>
      <c r="KM7" s="30">
        <v>6</v>
      </c>
      <c r="KN7" s="30">
        <v>1</v>
      </c>
      <c r="KO7" s="30">
        <v>30</v>
      </c>
      <c r="KP7" s="30">
        <v>100</v>
      </c>
      <c r="KQ7" s="30" t="s">
        <v>743</v>
      </c>
      <c r="KR7" s="30" t="s">
        <v>744</v>
      </c>
      <c r="KS7" s="30"/>
    </row>
    <row r="8" spans="1:305" hidden="1">
      <c r="A8" s="1" t="s">
        <v>872</v>
      </c>
      <c r="B8" s="91">
        <v>63</v>
      </c>
      <c r="C8" s="95" t="str">
        <f>LOOKUP(B8,{0,20,30,40,50,60},{"10","20","30","40","50","60","70","80","90"})</f>
        <v>60</v>
      </c>
      <c r="D8" s="91" t="s">
        <v>888</v>
      </c>
      <c r="E8" s="1"/>
      <c r="F8" s="99">
        <v>44904</v>
      </c>
      <c r="G8" s="99">
        <v>44922</v>
      </c>
      <c r="H8" s="95" t="s">
        <v>115</v>
      </c>
      <c r="I8" s="90">
        <v>44952</v>
      </c>
      <c r="J8" s="1"/>
      <c r="K8" s="91" t="s">
        <v>732</v>
      </c>
      <c r="L8" s="100"/>
      <c r="M8" s="100"/>
      <c r="N8" s="100"/>
      <c r="O8" s="99">
        <v>44951</v>
      </c>
      <c r="P8" s="99"/>
      <c r="Q8" s="99"/>
      <c r="R8" s="99"/>
      <c r="S8" s="92">
        <v>45056</v>
      </c>
      <c r="T8" s="92">
        <v>45154</v>
      </c>
      <c r="U8" s="92"/>
      <c r="V8" s="92"/>
      <c r="W8" s="92"/>
      <c r="X8" s="92">
        <v>44971</v>
      </c>
      <c r="Y8" s="92">
        <v>44944</v>
      </c>
      <c r="Z8" s="30">
        <f t="shared" si="0"/>
        <v>-8</v>
      </c>
      <c r="AA8" s="30"/>
      <c r="AB8" s="30">
        <v>5</v>
      </c>
      <c r="AC8" s="30">
        <v>15</v>
      </c>
      <c r="AD8" s="30">
        <v>15</v>
      </c>
      <c r="AE8" s="30">
        <v>20</v>
      </c>
      <c r="AF8" s="30">
        <v>30</v>
      </c>
      <c r="AG8" s="30">
        <v>35</v>
      </c>
      <c r="AH8" s="33">
        <v>16.25</v>
      </c>
      <c r="AI8" s="30">
        <v>40</v>
      </c>
      <c r="AJ8" s="30">
        <v>45</v>
      </c>
      <c r="AK8" s="30">
        <v>40</v>
      </c>
      <c r="AL8" s="30">
        <v>40</v>
      </c>
      <c r="AM8" s="30">
        <v>40</v>
      </c>
      <c r="AN8" s="30">
        <v>55</v>
      </c>
      <c r="AO8" s="30">
        <v>65</v>
      </c>
      <c r="AP8" s="30">
        <v>75</v>
      </c>
      <c r="AQ8" s="31" t="s">
        <v>234</v>
      </c>
      <c r="AR8" s="31" t="s">
        <v>234</v>
      </c>
      <c r="AS8" s="31" t="s">
        <v>234</v>
      </c>
      <c r="AT8" s="31" t="s">
        <v>234</v>
      </c>
      <c r="AU8" s="31" t="s">
        <v>234</v>
      </c>
      <c r="AV8" s="31" t="s">
        <v>234</v>
      </c>
      <c r="AW8" s="31" t="s">
        <v>234</v>
      </c>
      <c r="AX8" s="33">
        <v>40</v>
      </c>
      <c r="AY8" s="33">
        <v>52</v>
      </c>
      <c r="AZ8" s="33">
        <v>41.666666666666664</v>
      </c>
      <c r="BA8" s="33">
        <v>40</v>
      </c>
      <c r="BB8" s="33">
        <v>65</v>
      </c>
      <c r="BC8" s="33">
        <v>43.75</v>
      </c>
      <c r="BD8" s="34">
        <v>3</v>
      </c>
      <c r="BE8" s="33">
        <v>2</v>
      </c>
      <c r="BF8" s="30">
        <v>40</v>
      </c>
      <c r="BG8" s="30">
        <v>100</v>
      </c>
      <c r="BH8" s="30">
        <v>10</v>
      </c>
      <c r="BI8" s="30">
        <v>15</v>
      </c>
      <c r="BJ8" s="30">
        <v>20</v>
      </c>
      <c r="BK8" s="30">
        <v>20</v>
      </c>
      <c r="BL8" s="30">
        <v>20</v>
      </c>
      <c r="BM8" s="30">
        <v>25</v>
      </c>
      <c r="BN8" s="33">
        <v>18.75</v>
      </c>
      <c r="BO8" s="30">
        <v>15</v>
      </c>
      <c r="BP8" s="30">
        <v>10</v>
      </c>
      <c r="BQ8" s="30">
        <v>15</v>
      </c>
      <c r="BR8" s="30">
        <v>20</v>
      </c>
      <c r="BS8" s="30">
        <v>20</v>
      </c>
      <c r="BT8" s="30">
        <v>20</v>
      </c>
      <c r="BU8" s="30">
        <v>25</v>
      </c>
      <c r="BV8" s="30">
        <v>50</v>
      </c>
      <c r="BW8" s="31" t="s">
        <v>234</v>
      </c>
      <c r="BX8" s="31" t="s">
        <v>234</v>
      </c>
      <c r="BY8" s="31" t="s">
        <v>234</v>
      </c>
      <c r="BZ8" s="31" t="s">
        <v>234</v>
      </c>
      <c r="CA8" s="31" t="s">
        <v>234</v>
      </c>
      <c r="CB8" s="31" t="s">
        <v>234</v>
      </c>
      <c r="CC8" s="31" t="s">
        <v>234</v>
      </c>
      <c r="CD8" s="33">
        <v>18.75</v>
      </c>
      <c r="CE8" s="33">
        <v>26</v>
      </c>
      <c r="CF8" s="33">
        <v>13.333333333333334</v>
      </c>
      <c r="CG8" s="33">
        <v>20</v>
      </c>
      <c r="CH8" s="33">
        <v>31.666666666666668</v>
      </c>
      <c r="CI8" s="33">
        <v>18.75</v>
      </c>
      <c r="CJ8" s="30">
        <v>3</v>
      </c>
      <c r="CK8" s="33">
        <v>0</v>
      </c>
      <c r="CL8" s="30">
        <v>20</v>
      </c>
      <c r="CM8" s="30">
        <v>100</v>
      </c>
      <c r="CN8" s="31" t="s">
        <v>745</v>
      </c>
      <c r="CO8" s="31" t="s">
        <v>746</v>
      </c>
      <c r="CP8" s="30"/>
      <c r="CQ8" s="32">
        <v>45050</v>
      </c>
      <c r="CR8" s="30">
        <f t="shared" si="1"/>
        <v>98</v>
      </c>
      <c r="CS8" s="30"/>
      <c r="CT8" s="30">
        <v>10</v>
      </c>
      <c r="CU8" s="30">
        <v>10</v>
      </c>
      <c r="CV8" s="30">
        <v>15</v>
      </c>
      <c r="CW8" s="30">
        <v>25</v>
      </c>
      <c r="CX8" s="30">
        <v>30</v>
      </c>
      <c r="CY8" s="30">
        <v>35</v>
      </c>
      <c r="CZ8" s="33">
        <v>16.25</v>
      </c>
      <c r="DA8" s="30">
        <v>20</v>
      </c>
      <c r="DB8" s="30">
        <v>20</v>
      </c>
      <c r="DC8" s="30">
        <v>25</v>
      </c>
      <c r="DD8" s="30">
        <v>25</v>
      </c>
      <c r="DE8" s="30">
        <v>30</v>
      </c>
      <c r="DF8" s="30">
        <v>40</v>
      </c>
      <c r="DG8" s="30">
        <v>55</v>
      </c>
      <c r="DH8" s="30">
        <v>85</v>
      </c>
      <c r="DI8" s="30" t="s">
        <v>277</v>
      </c>
      <c r="DJ8" s="30" t="s">
        <v>277</v>
      </c>
      <c r="DK8" s="30" t="s">
        <v>277</v>
      </c>
      <c r="DL8" s="30" t="s">
        <v>277</v>
      </c>
      <c r="DM8" s="30" t="s">
        <v>277</v>
      </c>
      <c r="DN8" s="30" t="s">
        <v>277</v>
      </c>
      <c r="DO8" s="30" t="s">
        <v>277</v>
      </c>
      <c r="DP8" s="33">
        <v>26.25</v>
      </c>
      <c r="DQ8" s="33">
        <v>44</v>
      </c>
      <c r="DR8" s="33">
        <v>21.666666666666668</v>
      </c>
      <c r="DS8" s="33">
        <v>27.5</v>
      </c>
      <c r="DT8" s="33">
        <v>60</v>
      </c>
      <c r="DU8" s="33">
        <v>30</v>
      </c>
      <c r="DV8" s="30">
        <v>3</v>
      </c>
      <c r="DW8" s="33">
        <v>1</v>
      </c>
      <c r="DX8" s="30">
        <v>35</v>
      </c>
      <c r="DY8" s="30">
        <v>100</v>
      </c>
      <c r="DZ8" s="30">
        <v>10</v>
      </c>
      <c r="EA8" s="30">
        <v>5</v>
      </c>
      <c r="EB8" s="30">
        <v>10</v>
      </c>
      <c r="EC8" s="30">
        <v>5</v>
      </c>
      <c r="ED8" s="30">
        <v>15</v>
      </c>
      <c r="EE8" s="30">
        <v>15</v>
      </c>
      <c r="EF8" s="33">
        <v>7.5</v>
      </c>
      <c r="EG8" s="30">
        <v>10</v>
      </c>
      <c r="EH8" s="30">
        <v>10</v>
      </c>
      <c r="EI8" s="30">
        <v>5</v>
      </c>
      <c r="EJ8" s="30">
        <v>10</v>
      </c>
      <c r="EK8" s="30">
        <v>5</v>
      </c>
      <c r="EL8" s="30">
        <v>15</v>
      </c>
      <c r="EM8" s="30">
        <v>15</v>
      </c>
      <c r="EN8" s="30">
        <v>40</v>
      </c>
      <c r="EO8" s="30" t="s">
        <v>277</v>
      </c>
      <c r="EP8" s="30" t="s">
        <v>277</v>
      </c>
      <c r="EQ8" s="30" t="s">
        <v>277</v>
      </c>
      <c r="ER8" s="30" t="s">
        <v>277</v>
      </c>
      <c r="ES8" s="30" t="s">
        <v>277</v>
      </c>
      <c r="ET8" s="30" t="s">
        <v>277</v>
      </c>
      <c r="EU8" s="30" t="s">
        <v>277</v>
      </c>
      <c r="EV8" s="33">
        <v>7.5</v>
      </c>
      <c r="EW8" s="33">
        <v>15</v>
      </c>
      <c r="EX8" s="33">
        <v>8.3333333333333339</v>
      </c>
      <c r="EY8" s="33">
        <v>7.5</v>
      </c>
      <c r="EZ8" s="33">
        <v>23.333333333333332</v>
      </c>
      <c r="FA8" s="33">
        <v>8.75</v>
      </c>
      <c r="FB8" s="30">
        <v>6</v>
      </c>
      <c r="FC8" s="33">
        <v>0</v>
      </c>
      <c r="FD8" s="30">
        <v>10</v>
      </c>
      <c r="FE8" s="30">
        <v>100</v>
      </c>
      <c r="FF8" s="30" t="s">
        <v>747</v>
      </c>
      <c r="FG8" s="30" t="s">
        <v>748</v>
      </c>
      <c r="FH8" s="30"/>
      <c r="FI8" s="32">
        <v>45149</v>
      </c>
      <c r="FJ8" s="30">
        <f t="shared" si="2"/>
        <v>197</v>
      </c>
      <c r="FK8" s="30"/>
      <c r="FL8" s="30">
        <v>0</v>
      </c>
      <c r="FM8" s="30">
        <v>15</v>
      </c>
      <c r="FN8" s="30">
        <v>20</v>
      </c>
      <c r="FO8" s="30">
        <v>25</v>
      </c>
      <c r="FP8" s="30">
        <v>30</v>
      </c>
      <c r="FQ8" s="30">
        <v>30</v>
      </c>
      <c r="FR8" s="33">
        <v>20</v>
      </c>
      <c r="FS8" s="30">
        <v>25</v>
      </c>
      <c r="FT8" s="30">
        <v>20</v>
      </c>
      <c r="FU8" s="30">
        <v>25</v>
      </c>
      <c r="FV8" s="30">
        <v>30</v>
      </c>
      <c r="FW8" s="30">
        <v>25</v>
      </c>
      <c r="FX8" s="30">
        <v>35</v>
      </c>
      <c r="FY8" s="30">
        <v>50</v>
      </c>
      <c r="FZ8" s="30">
        <v>75</v>
      </c>
      <c r="GA8" s="30" t="s">
        <v>234</v>
      </c>
      <c r="GB8" s="30" t="s">
        <v>234</v>
      </c>
      <c r="GC8" s="30" t="s">
        <v>234</v>
      </c>
      <c r="GD8" s="30" t="s">
        <v>234</v>
      </c>
      <c r="GE8" s="30" t="s">
        <v>234</v>
      </c>
      <c r="GF8" s="30" t="s">
        <v>234</v>
      </c>
      <c r="GG8" s="30" t="s">
        <v>234</v>
      </c>
      <c r="GH8" s="33">
        <v>27.5</v>
      </c>
      <c r="GI8" s="33">
        <v>41</v>
      </c>
      <c r="GJ8" s="33">
        <v>23.333333333333332</v>
      </c>
      <c r="GK8" s="33">
        <v>27.5</v>
      </c>
      <c r="GL8" s="33">
        <v>53.333333333333336</v>
      </c>
      <c r="GM8" s="33">
        <v>28.75</v>
      </c>
      <c r="GN8" s="30">
        <v>3</v>
      </c>
      <c r="GO8" s="33">
        <v>1</v>
      </c>
      <c r="GP8" s="30">
        <v>25</v>
      </c>
      <c r="GQ8" s="30">
        <v>100</v>
      </c>
      <c r="GR8" s="30">
        <v>10</v>
      </c>
      <c r="GS8" s="30">
        <v>10</v>
      </c>
      <c r="GT8" s="30">
        <v>15</v>
      </c>
      <c r="GU8" s="30">
        <v>10</v>
      </c>
      <c r="GV8" s="30">
        <v>15</v>
      </c>
      <c r="GW8" s="30">
        <v>15</v>
      </c>
      <c r="GX8" s="30">
        <v>12.5</v>
      </c>
      <c r="GY8" s="30">
        <v>20</v>
      </c>
      <c r="GZ8" s="30">
        <v>15</v>
      </c>
      <c r="HA8" s="30">
        <v>10</v>
      </c>
      <c r="HB8" s="30">
        <v>15</v>
      </c>
      <c r="HC8" s="30">
        <v>10</v>
      </c>
      <c r="HD8" s="30">
        <v>15</v>
      </c>
      <c r="HE8" s="30">
        <v>20</v>
      </c>
      <c r="HF8" s="30">
        <v>35</v>
      </c>
      <c r="HG8" s="30" t="s">
        <v>277</v>
      </c>
      <c r="HH8" s="30" t="s">
        <v>277</v>
      </c>
      <c r="HI8" s="30" t="s">
        <v>277</v>
      </c>
      <c r="HJ8" s="30" t="s">
        <v>277</v>
      </c>
      <c r="HK8" s="30" t="s">
        <v>277</v>
      </c>
      <c r="HL8" s="30" t="s">
        <v>277</v>
      </c>
      <c r="HM8" s="30" t="s">
        <v>277</v>
      </c>
      <c r="HN8" s="30">
        <v>12.5</v>
      </c>
      <c r="HO8" s="30">
        <v>18</v>
      </c>
      <c r="HP8" s="30">
        <v>15</v>
      </c>
      <c r="HQ8" s="30">
        <v>12.5</v>
      </c>
      <c r="HR8" s="30">
        <v>23.333333333333332</v>
      </c>
      <c r="HS8" s="30">
        <v>12.5</v>
      </c>
      <c r="HT8" s="30"/>
      <c r="HU8" s="30" t="s">
        <v>235</v>
      </c>
      <c r="HV8" s="30">
        <v>0</v>
      </c>
      <c r="HW8" s="30">
        <v>10</v>
      </c>
      <c r="HX8" s="30">
        <v>100</v>
      </c>
      <c r="HY8" s="30" t="s">
        <v>749</v>
      </c>
      <c r="HZ8" s="30" t="s">
        <v>750</v>
      </c>
      <c r="IA8" s="30"/>
      <c r="IB8" s="32">
        <v>45336</v>
      </c>
      <c r="IC8" s="84">
        <f t="shared" si="3"/>
        <v>384</v>
      </c>
      <c r="ID8" s="30"/>
      <c r="IE8" s="30">
        <v>5</v>
      </c>
      <c r="IF8" s="30">
        <v>15</v>
      </c>
      <c r="IG8" s="30">
        <v>20</v>
      </c>
      <c r="IH8" s="30">
        <v>20</v>
      </c>
      <c r="II8" s="30">
        <v>30</v>
      </c>
      <c r="IJ8" s="30">
        <v>30</v>
      </c>
      <c r="IK8" s="30">
        <v>18.75</v>
      </c>
      <c r="IL8" s="30">
        <v>25</v>
      </c>
      <c r="IM8" s="30">
        <v>15</v>
      </c>
      <c r="IN8" s="30">
        <v>20</v>
      </c>
      <c r="IO8" s="30">
        <v>25</v>
      </c>
      <c r="IP8" s="30">
        <v>20</v>
      </c>
      <c r="IQ8" s="30">
        <v>30</v>
      </c>
      <c r="IR8" s="30">
        <v>45</v>
      </c>
      <c r="IS8" s="30">
        <v>80</v>
      </c>
      <c r="IT8" s="30" t="s">
        <v>277</v>
      </c>
      <c r="IU8" s="30" t="s">
        <v>277</v>
      </c>
      <c r="IV8" s="30" t="s">
        <v>277</v>
      </c>
      <c r="IW8" s="30" t="s">
        <v>277</v>
      </c>
      <c r="IX8" s="30" t="s">
        <v>277</v>
      </c>
      <c r="IY8" s="30" t="s">
        <v>277</v>
      </c>
      <c r="IZ8" s="30" t="s">
        <v>277</v>
      </c>
      <c r="JA8" s="30">
        <v>22.5</v>
      </c>
      <c r="JB8" s="30">
        <v>38</v>
      </c>
      <c r="JC8" s="30">
        <v>20</v>
      </c>
      <c r="JD8" s="30">
        <v>22.5</v>
      </c>
      <c r="JE8" s="30">
        <v>51.666666666666664</v>
      </c>
      <c r="JF8" s="30">
        <v>23.75</v>
      </c>
      <c r="JG8" s="30">
        <v>6</v>
      </c>
      <c r="JH8" s="30">
        <v>1</v>
      </c>
      <c r="JI8" s="30">
        <v>25</v>
      </c>
      <c r="JJ8" s="30">
        <v>100</v>
      </c>
      <c r="JK8" s="30">
        <v>10</v>
      </c>
      <c r="JL8" s="30">
        <v>10</v>
      </c>
      <c r="JM8" s="30">
        <v>10</v>
      </c>
      <c r="JN8" s="30">
        <v>10</v>
      </c>
      <c r="JO8" s="30">
        <v>15</v>
      </c>
      <c r="JP8" s="30">
        <v>20</v>
      </c>
      <c r="JQ8" s="30">
        <v>10</v>
      </c>
      <c r="JR8" s="30">
        <v>20</v>
      </c>
      <c r="JS8" s="30">
        <v>10</v>
      </c>
      <c r="JT8" s="30">
        <v>10</v>
      </c>
      <c r="JU8" s="30">
        <v>10</v>
      </c>
      <c r="JV8" s="30">
        <v>10</v>
      </c>
      <c r="JW8" s="30">
        <v>15</v>
      </c>
      <c r="JX8" s="30">
        <v>20</v>
      </c>
      <c r="JY8" s="30">
        <v>35</v>
      </c>
      <c r="JZ8" s="30" t="s">
        <v>277</v>
      </c>
      <c r="KA8" s="30" t="s">
        <v>277</v>
      </c>
      <c r="KB8" s="30" t="s">
        <v>277</v>
      </c>
      <c r="KC8" s="30" t="s">
        <v>277</v>
      </c>
      <c r="KD8" s="30" t="s">
        <v>277</v>
      </c>
      <c r="KE8" s="30" t="s">
        <v>277</v>
      </c>
      <c r="KF8" s="30" t="s">
        <v>277</v>
      </c>
      <c r="KG8" s="30">
        <v>10</v>
      </c>
      <c r="KH8" s="30">
        <v>17</v>
      </c>
      <c r="KI8" s="30">
        <v>13.333333333333334</v>
      </c>
      <c r="KJ8" s="30">
        <v>10</v>
      </c>
      <c r="KK8" s="30">
        <v>23.333333333333332</v>
      </c>
      <c r="KL8" s="30">
        <v>11.25</v>
      </c>
      <c r="KM8" s="30" t="s">
        <v>235</v>
      </c>
      <c r="KN8" s="30">
        <v>0</v>
      </c>
      <c r="KO8" s="30">
        <v>15</v>
      </c>
      <c r="KP8" s="30">
        <v>100</v>
      </c>
      <c r="KQ8" s="30" t="s">
        <v>751</v>
      </c>
      <c r="KR8" s="30" t="s">
        <v>752</v>
      </c>
      <c r="KS8" s="30"/>
    </row>
    <row r="9" spans="1:305" hidden="1">
      <c r="A9" s="1" t="s">
        <v>873</v>
      </c>
      <c r="B9" s="91">
        <v>21</v>
      </c>
      <c r="C9" s="95" t="str">
        <f>LOOKUP(B9,{0,20,30,40,50,60},{"10","20","30","40","50","60","70","80","90"})</f>
        <v>20</v>
      </c>
      <c r="D9" s="91" t="s">
        <v>889</v>
      </c>
      <c r="E9" s="1"/>
      <c r="F9" s="99">
        <v>44902</v>
      </c>
      <c r="G9" s="100"/>
      <c r="H9" s="95" t="s">
        <v>115</v>
      </c>
      <c r="I9" s="90">
        <v>44964</v>
      </c>
      <c r="J9" s="1"/>
      <c r="K9" s="91" t="s">
        <v>733</v>
      </c>
      <c r="L9" s="100"/>
      <c r="M9" s="100"/>
      <c r="N9" s="100"/>
      <c r="O9" s="99">
        <v>44963</v>
      </c>
      <c r="P9" s="99"/>
      <c r="Q9" s="99"/>
      <c r="R9" s="99"/>
      <c r="S9" s="92">
        <v>45077</v>
      </c>
      <c r="T9" s="92">
        <v>45168</v>
      </c>
      <c r="U9" s="92"/>
      <c r="V9" s="92"/>
      <c r="W9" s="92"/>
      <c r="X9" s="92">
        <v>45322</v>
      </c>
      <c r="Y9" s="92">
        <v>44963</v>
      </c>
      <c r="Z9" s="30">
        <f t="shared" si="0"/>
        <v>-1</v>
      </c>
      <c r="AA9" s="30"/>
      <c r="AB9" s="30">
        <v>10</v>
      </c>
      <c r="AC9" s="30">
        <v>5</v>
      </c>
      <c r="AD9" s="30">
        <v>0</v>
      </c>
      <c r="AE9" s="30">
        <v>0</v>
      </c>
      <c r="AF9" s="30">
        <v>0</v>
      </c>
      <c r="AG9" s="30">
        <v>0</v>
      </c>
      <c r="AH9" s="33">
        <v>1.25</v>
      </c>
      <c r="AI9" s="30">
        <v>15</v>
      </c>
      <c r="AJ9" s="30">
        <v>10</v>
      </c>
      <c r="AK9" s="30">
        <v>5</v>
      </c>
      <c r="AL9" s="30">
        <v>0</v>
      </c>
      <c r="AM9" s="30">
        <v>0</v>
      </c>
      <c r="AN9" s="30">
        <v>0</v>
      </c>
      <c r="AO9" s="30">
        <v>0</v>
      </c>
      <c r="AP9" s="30">
        <v>5</v>
      </c>
      <c r="AQ9" s="31" t="s">
        <v>234</v>
      </c>
      <c r="AR9" s="31" t="s">
        <v>234</v>
      </c>
      <c r="AS9" s="31" t="s">
        <v>234</v>
      </c>
      <c r="AT9" s="31" t="s">
        <v>234</v>
      </c>
      <c r="AU9" s="31" t="s">
        <v>234</v>
      </c>
      <c r="AV9" s="31" t="s">
        <v>234</v>
      </c>
      <c r="AW9" s="31" t="s">
        <v>234</v>
      </c>
      <c r="AX9" s="33">
        <v>1.25</v>
      </c>
      <c r="AY9" s="33">
        <v>2</v>
      </c>
      <c r="AZ9" s="33">
        <v>10</v>
      </c>
      <c r="BA9" s="33">
        <v>0</v>
      </c>
      <c r="BB9" s="33">
        <v>1.6666666666666667</v>
      </c>
      <c r="BC9" s="33">
        <v>1.25</v>
      </c>
      <c r="BD9" s="34">
        <v>1</v>
      </c>
      <c r="BE9" s="33">
        <v>0</v>
      </c>
      <c r="BF9" s="30">
        <v>10</v>
      </c>
      <c r="BG9" s="30">
        <v>100</v>
      </c>
      <c r="BH9" s="30">
        <v>5</v>
      </c>
      <c r="BI9" s="30">
        <v>15</v>
      </c>
      <c r="BJ9" s="30">
        <v>0</v>
      </c>
      <c r="BK9" s="30">
        <v>15</v>
      </c>
      <c r="BL9" s="30">
        <v>20</v>
      </c>
      <c r="BM9" s="30">
        <v>0</v>
      </c>
      <c r="BN9" s="33">
        <v>7.5</v>
      </c>
      <c r="BO9" s="30">
        <v>25</v>
      </c>
      <c r="BP9" s="30">
        <v>20</v>
      </c>
      <c r="BQ9" s="30">
        <v>15</v>
      </c>
      <c r="BR9" s="30">
        <v>15</v>
      </c>
      <c r="BS9" s="30">
        <v>25</v>
      </c>
      <c r="BT9" s="30">
        <v>20</v>
      </c>
      <c r="BU9" s="30">
        <v>15</v>
      </c>
      <c r="BV9" s="30">
        <v>0</v>
      </c>
      <c r="BW9" s="31" t="s">
        <v>234</v>
      </c>
      <c r="BX9" s="31" t="s">
        <v>234</v>
      </c>
      <c r="BY9" s="31" t="s">
        <v>234</v>
      </c>
      <c r="BZ9" s="31" t="s">
        <v>234</v>
      </c>
      <c r="CA9" s="31" t="s">
        <v>234</v>
      </c>
      <c r="CB9" s="31" t="s">
        <v>234</v>
      </c>
      <c r="CC9" s="31" t="s">
        <v>234</v>
      </c>
      <c r="CD9" s="33">
        <v>17.5</v>
      </c>
      <c r="CE9" s="33">
        <v>14</v>
      </c>
      <c r="CF9" s="33">
        <v>20</v>
      </c>
      <c r="CG9" s="33">
        <v>20</v>
      </c>
      <c r="CH9" s="33">
        <v>11.666666666666666</v>
      </c>
      <c r="CI9" s="33">
        <v>18.75</v>
      </c>
      <c r="CJ9" s="30">
        <v>1</v>
      </c>
      <c r="CK9" s="33">
        <v>0</v>
      </c>
      <c r="CL9" s="30">
        <v>20</v>
      </c>
      <c r="CM9" s="30">
        <v>100</v>
      </c>
      <c r="CN9" s="31" t="s">
        <v>753</v>
      </c>
      <c r="CO9" s="31" t="s">
        <v>754</v>
      </c>
      <c r="CP9" s="30"/>
      <c r="CQ9" s="32">
        <v>45076</v>
      </c>
      <c r="CR9" s="30">
        <f t="shared" si="1"/>
        <v>112</v>
      </c>
      <c r="CS9" s="30"/>
      <c r="CT9" s="30">
        <v>0</v>
      </c>
      <c r="CU9" s="30">
        <v>0</v>
      </c>
      <c r="CV9" s="30">
        <v>5</v>
      </c>
      <c r="CW9" s="30">
        <v>5</v>
      </c>
      <c r="CX9" s="30">
        <v>5</v>
      </c>
      <c r="CY9" s="30">
        <v>0</v>
      </c>
      <c r="CZ9" s="33">
        <v>3.75</v>
      </c>
      <c r="DA9" s="30">
        <v>5</v>
      </c>
      <c r="DB9" s="30">
        <v>10</v>
      </c>
      <c r="DC9" s="30">
        <v>5</v>
      </c>
      <c r="DD9" s="30">
        <v>5</v>
      </c>
      <c r="DE9" s="30">
        <v>5</v>
      </c>
      <c r="DF9" s="30">
        <v>5</v>
      </c>
      <c r="DG9" s="30">
        <v>5</v>
      </c>
      <c r="DH9" s="30">
        <v>0</v>
      </c>
      <c r="DI9" s="30" t="s">
        <v>277</v>
      </c>
      <c r="DJ9" s="30" t="s">
        <v>277</v>
      </c>
      <c r="DK9" s="30" t="s">
        <v>277</v>
      </c>
      <c r="DL9" s="30" t="s">
        <v>277</v>
      </c>
      <c r="DM9" s="30" t="s">
        <v>277</v>
      </c>
      <c r="DN9" s="30" t="s">
        <v>277</v>
      </c>
      <c r="DO9" s="30" t="s">
        <v>277</v>
      </c>
      <c r="DP9" s="33">
        <v>5</v>
      </c>
      <c r="DQ9" s="33">
        <v>4</v>
      </c>
      <c r="DR9" s="33">
        <v>6.666666666666667</v>
      </c>
      <c r="DS9" s="33">
        <v>5</v>
      </c>
      <c r="DT9" s="33">
        <v>3.3333333333333335</v>
      </c>
      <c r="DU9" s="33">
        <v>5</v>
      </c>
      <c r="DV9" s="30">
        <v>4</v>
      </c>
      <c r="DW9" s="33">
        <v>0</v>
      </c>
      <c r="DX9" s="30">
        <v>15</v>
      </c>
      <c r="DY9" s="30">
        <v>100</v>
      </c>
      <c r="DZ9" s="30">
        <v>0</v>
      </c>
      <c r="EA9" s="30">
        <v>0</v>
      </c>
      <c r="EB9" s="30">
        <v>0</v>
      </c>
      <c r="EC9" s="30">
        <v>0</v>
      </c>
      <c r="ED9" s="30">
        <v>5</v>
      </c>
      <c r="EE9" s="30">
        <v>0</v>
      </c>
      <c r="EF9" s="33">
        <v>0</v>
      </c>
      <c r="EG9" s="30">
        <v>20</v>
      </c>
      <c r="EH9" s="30">
        <v>15</v>
      </c>
      <c r="EI9" s="30">
        <v>15</v>
      </c>
      <c r="EJ9" s="30">
        <v>10</v>
      </c>
      <c r="EK9" s="30">
        <v>5</v>
      </c>
      <c r="EL9" s="30">
        <v>10</v>
      </c>
      <c r="EM9" s="30">
        <v>10</v>
      </c>
      <c r="EN9" s="30">
        <v>25</v>
      </c>
      <c r="EO9" s="30" t="s">
        <v>277</v>
      </c>
      <c r="EP9" s="30" t="s">
        <v>277</v>
      </c>
      <c r="EQ9" s="30" t="s">
        <v>277</v>
      </c>
      <c r="ER9" s="30" t="s">
        <v>277</v>
      </c>
      <c r="ES9" s="30" t="s">
        <v>277</v>
      </c>
      <c r="ET9" s="30" t="s">
        <v>277</v>
      </c>
      <c r="EU9" s="30" t="s">
        <v>277</v>
      </c>
      <c r="EV9" s="33">
        <v>10</v>
      </c>
      <c r="EW9" s="33">
        <v>13</v>
      </c>
      <c r="EX9" s="33">
        <v>16.666666666666668</v>
      </c>
      <c r="EY9" s="33">
        <v>7.5</v>
      </c>
      <c r="EZ9" s="33">
        <v>15</v>
      </c>
      <c r="FA9" s="33">
        <v>10</v>
      </c>
      <c r="FB9" s="30" t="s">
        <v>235</v>
      </c>
      <c r="FC9" s="33">
        <v>0</v>
      </c>
      <c r="FD9" s="30">
        <v>20</v>
      </c>
      <c r="FE9" s="30">
        <v>100</v>
      </c>
      <c r="FF9" s="30"/>
      <c r="FG9" s="30"/>
      <c r="FH9" s="30" t="s">
        <v>755</v>
      </c>
      <c r="FI9" s="32">
        <v>45167</v>
      </c>
      <c r="FJ9" s="30">
        <f t="shared" si="2"/>
        <v>203</v>
      </c>
      <c r="FK9" s="30"/>
      <c r="FL9" s="30">
        <v>0</v>
      </c>
      <c r="FM9" s="30">
        <v>5</v>
      </c>
      <c r="FN9" s="30">
        <v>0</v>
      </c>
      <c r="FO9" s="30">
        <v>0</v>
      </c>
      <c r="FP9" s="30">
        <v>0</v>
      </c>
      <c r="FQ9" s="30">
        <v>0</v>
      </c>
      <c r="FR9" s="33">
        <v>1.25</v>
      </c>
      <c r="FS9" s="30">
        <v>10</v>
      </c>
      <c r="FT9" s="30">
        <v>0</v>
      </c>
      <c r="FU9" s="30">
        <v>5</v>
      </c>
      <c r="FV9" s="30">
        <v>0</v>
      </c>
      <c r="FW9" s="30">
        <v>0</v>
      </c>
      <c r="FX9" s="30">
        <v>0</v>
      </c>
      <c r="FY9" s="30">
        <v>0</v>
      </c>
      <c r="FZ9" s="30">
        <v>0</v>
      </c>
      <c r="GA9" s="30" t="s">
        <v>234</v>
      </c>
      <c r="GB9" s="30" t="s">
        <v>234</v>
      </c>
      <c r="GC9" s="30" t="s">
        <v>234</v>
      </c>
      <c r="GD9" s="30" t="s">
        <v>234</v>
      </c>
      <c r="GE9" s="30" t="s">
        <v>234</v>
      </c>
      <c r="GF9" s="30" t="s">
        <v>234</v>
      </c>
      <c r="GG9" s="30" t="s">
        <v>234</v>
      </c>
      <c r="GH9" s="33">
        <v>1.25</v>
      </c>
      <c r="GI9" s="33">
        <v>1</v>
      </c>
      <c r="GJ9" s="33">
        <v>5</v>
      </c>
      <c r="GK9" s="33">
        <v>0</v>
      </c>
      <c r="GL9" s="33">
        <v>0</v>
      </c>
      <c r="GM9" s="33">
        <v>1.25</v>
      </c>
      <c r="GN9" s="30">
        <v>4</v>
      </c>
      <c r="GO9" s="33">
        <v>0</v>
      </c>
      <c r="GP9" s="30">
        <v>10</v>
      </c>
      <c r="GQ9" s="30">
        <v>100</v>
      </c>
      <c r="GR9" s="30">
        <v>0</v>
      </c>
      <c r="GS9" s="30">
        <v>15</v>
      </c>
      <c r="GT9" s="30">
        <v>10</v>
      </c>
      <c r="GU9" s="30">
        <v>5</v>
      </c>
      <c r="GV9" s="30">
        <v>10</v>
      </c>
      <c r="GW9" s="30">
        <v>10</v>
      </c>
      <c r="GX9" s="30">
        <v>10</v>
      </c>
      <c r="GY9" s="30">
        <v>10</v>
      </c>
      <c r="GZ9" s="30">
        <v>10</v>
      </c>
      <c r="HA9" s="30">
        <v>15</v>
      </c>
      <c r="HB9" s="30">
        <v>10</v>
      </c>
      <c r="HC9" s="30">
        <v>5</v>
      </c>
      <c r="HD9" s="30">
        <v>10</v>
      </c>
      <c r="HE9" s="30">
        <v>15</v>
      </c>
      <c r="HF9" s="30">
        <v>5</v>
      </c>
      <c r="HG9" s="30" t="s">
        <v>277</v>
      </c>
      <c r="HH9" s="30" t="s">
        <v>277</v>
      </c>
      <c r="HI9" s="30" t="s">
        <v>277</v>
      </c>
      <c r="HJ9" s="30" t="s">
        <v>277</v>
      </c>
      <c r="HK9" s="30" t="s">
        <v>277</v>
      </c>
      <c r="HL9" s="30" t="s">
        <v>277</v>
      </c>
      <c r="HM9" s="30" t="s">
        <v>277</v>
      </c>
      <c r="HN9" s="30">
        <v>10</v>
      </c>
      <c r="HO9" s="30">
        <v>10</v>
      </c>
      <c r="HP9" s="30">
        <v>11.666666666666666</v>
      </c>
      <c r="HQ9" s="30">
        <v>7.5</v>
      </c>
      <c r="HR9" s="30">
        <v>10</v>
      </c>
      <c r="HS9" s="30">
        <v>10</v>
      </c>
      <c r="HT9" s="30"/>
      <c r="HU9" s="30">
        <v>4</v>
      </c>
      <c r="HV9" s="30">
        <v>0</v>
      </c>
      <c r="HW9" s="30">
        <v>10</v>
      </c>
      <c r="HX9" s="30">
        <v>100</v>
      </c>
      <c r="HY9" s="30" t="s">
        <v>756</v>
      </c>
      <c r="HZ9" s="30" t="s">
        <v>757</v>
      </c>
      <c r="IA9" s="30"/>
      <c r="IB9" s="32">
        <v>45322</v>
      </c>
      <c r="IC9" s="84">
        <f t="shared" si="3"/>
        <v>358</v>
      </c>
      <c r="ID9" s="30"/>
      <c r="IE9" s="30">
        <v>5</v>
      </c>
      <c r="IF9" s="30">
        <v>5</v>
      </c>
      <c r="IG9" s="30">
        <v>0</v>
      </c>
      <c r="IH9" s="30">
        <v>0</v>
      </c>
      <c r="II9" s="30">
        <v>0</v>
      </c>
      <c r="IJ9" s="30">
        <v>5</v>
      </c>
      <c r="IK9" s="30">
        <v>1.25</v>
      </c>
      <c r="IL9" s="30">
        <v>10</v>
      </c>
      <c r="IM9" s="30">
        <v>5</v>
      </c>
      <c r="IN9" s="30">
        <v>5</v>
      </c>
      <c r="IO9" s="30">
        <v>0</v>
      </c>
      <c r="IP9" s="30">
        <v>0</v>
      </c>
      <c r="IQ9" s="30">
        <v>0</v>
      </c>
      <c r="IR9" s="30">
        <v>5</v>
      </c>
      <c r="IS9" s="30">
        <v>0</v>
      </c>
      <c r="IT9" s="30" t="s">
        <v>277</v>
      </c>
      <c r="IU9" s="30" t="s">
        <v>277</v>
      </c>
      <c r="IV9" s="30" t="s">
        <v>277</v>
      </c>
      <c r="IW9" s="30" t="s">
        <v>277</v>
      </c>
      <c r="IX9" s="30" t="s">
        <v>277</v>
      </c>
      <c r="IY9" s="30" t="s">
        <v>277</v>
      </c>
      <c r="IZ9" s="30" t="s">
        <v>277</v>
      </c>
      <c r="JA9" s="30">
        <v>1.25</v>
      </c>
      <c r="JB9" s="30">
        <v>2</v>
      </c>
      <c r="JC9" s="30">
        <v>6.666666666666667</v>
      </c>
      <c r="JD9" s="30">
        <v>0</v>
      </c>
      <c r="JE9" s="30">
        <v>1.6666666666666667</v>
      </c>
      <c r="JF9" s="30">
        <v>1.25</v>
      </c>
      <c r="JG9" s="30">
        <v>4</v>
      </c>
      <c r="JH9" s="30">
        <v>0</v>
      </c>
      <c r="JI9" s="30">
        <v>10</v>
      </c>
      <c r="JJ9" s="30">
        <v>100</v>
      </c>
      <c r="JK9" s="30">
        <v>10</v>
      </c>
      <c r="JL9" s="30">
        <v>10</v>
      </c>
      <c r="JM9" s="30">
        <v>5</v>
      </c>
      <c r="JN9" s="30">
        <v>5</v>
      </c>
      <c r="JO9" s="30">
        <v>5</v>
      </c>
      <c r="JP9" s="30">
        <v>10</v>
      </c>
      <c r="JQ9" s="30">
        <v>6.25</v>
      </c>
      <c r="JR9" s="30">
        <v>15</v>
      </c>
      <c r="JS9" s="30">
        <v>10</v>
      </c>
      <c r="JT9" s="30">
        <v>10</v>
      </c>
      <c r="JU9" s="30">
        <v>5</v>
      </c>
      <c r="JV9" s="30">
        <v>5</v>
      </c>
      <c r="JW9" s="30">
        <v>5</v>
      </c>
      <c r="JX9" s="30">
        <v>10</v>
      </c>
      <c r="JY9" s="30">
        <v>15</v>
      </c>
      <c r="JZ9" s="30" t="s">
        <v>277</v>
      </c>
      <c r="KA9" s="30" t="s">
        <v>277</v>
      </c>
      <c r="KB9" s="30" t="s">
        <v>277</v>
      </c>
      <c r="KC9" s="30" t="s">
        <v>277</v>
      </c>
      <c r="KD9" s="30" t="s">
        <v>277</v>
      </c>
      <c r="KE9" s="30" t="s">
        <v>277</v>
      </c>
      <c r="KF9" s="30" t="s">
        <v>277</v>
      </c>
      <c r="KG9" s="30">
        <v>6.25</v>
      </c>
      <c r="KH9" s="30">
        <v>9</v>
      </c>
      <c r="KI9" s="30">
        <v>11.666666666666666</v>
      </c>
      <c r="KJ9" s="30">
        <v>5</v>
      </c>
      <c r="KK9" s="30">
        <v>10</v>
      </c>
      <c r="KL9" s="30">
        <v>6.25</v>
      </c>
      <c r="KM9" s="30">
        <v>4</v>
      </c>
      <c r="KN9" s="30">
        <v>0</v>
      </c>
      <c r="KO9" s="30">
        <v>10</v>
      </c>
      <c r="KP9" s="30">
        <v>100</v>
      </c>
      <c r="KQ9" s="30"/>
      <c r="KR9" s="30"/>
      <c r="KS9" s="30" t="s">
        <v>758</v>
      </c>
    </row>
    <row r="10" spans="1:305" hidden="1">
      <c r="A10" s="1" t="s">
        <v>874</v>
      </c>
      <c r="B10" s="91">
        <v>11</v>
      </c>
      <c r="C10" s="95" t="str">
        <f>LOOKUP(B10,{0,20,30,40,50,60},{"10","20","30","40","50","60","70","80","90"})</f>
        <v>10</v>
      </c>
      <c r="D10" s="91" t="s">
        <v>888</v>
      </c>
      <c r="E10" s="1"/>
      <c r="F10" s="99">
        <v>44937</v>
      </c>
      <c r="G10" s="100"/>
      <c r="H10" s="95" t="s">
        <v>115</v>
      </c>
      <c r="I10" s="90">
        <v>44978</v>
      </c>
      <c r="J10" s="1"/>
      <c r="K10" s="91" t="s">
        <v>734</v>
      </c>
      <c r="L10" s="100"/>
      <c r="M10" s="100"/>
      <c r="N10" s="100"/>
      <c r="O10" s="99">
        <v>44977</v>
      </c>
      <c r="P10" s="99"/>
      <c r="Q10" s="99"/>
      <c r="R10" s="99"/>
      <c r="S10" s="92">
        <v>45103</v>
      </c>
      <c r="T10" s="92">
        <v>45175</v>
      </c>
      <c r="U10" s="92"/>
      <c r="V10" s="92"/>
      <c r="W10" s="92"/>
      <c r="X10" s="92">
        <v>45313</v>
      </c>
      <c r="Y10" s="93">
        <v>44944</v>
      </c>
      <c r="Z10" s="30">
        <f t="shared" si="0"/>
        <v>-34</v>
      </c>
      <c r="AA10" s="31"/>
      <c r="AB10" s="31">
        <v>15</v>
      </c>
      <c r="AC10" s="31">
        <v>15</v>
      </c>
      <c r="AD10" s="31">
        <v>5</v>
      </c>
      <c r="AE10" s="31">
        <v>10</v>
      </c>
      <c r="AF10" s="31">
        <v>10</v>
      </c>
      <c r="AG10" s="31">
        <v>5</v>
      </c>
      <c r="AH10" s="33">
        <v>8.75</v>
      </c>
      <c r="AI10" s="30">
        <v>20</v>
      </c>
      <c r="AJ10" s="30">
        <v>15</v>
      </c>
      <c r="AK10" s="30">
        <v>15</v>
      </c>
      <c r="AL10" s="30">
        <v>5</v>
      </c>
      <c r="AM10" s="30">
        <v>10</v>
      </c>
      <c r="AN10" s="30">
        <v>10</v>
      </c>
      <c r="AO10" s="30">
        <v>5</v>
      </c>
      <c r="AP10" s="30">
        <v>10</v>
      </c>
      <c r="AQ10" s="31" t="s">
        <v>234</v>
      </c>
      <c r="AR10" s="31" t="s">
        <v>234</v>
      </c>
      <c r="AS10" s="31" t="s">
        <v>234</v>
      </c>
      <c r="AT10" s="31" t="s">
        <v>234</v>
      </c>
      <c r="AU10" s="31" t="s">
        <v>234</v>
      </c>
      <c r="AV10" s="31" t="s">
        <v>234</v>
      </c>
      <c r="AW10" s="31" t="s">
        <v>234</v>
      </c>
      <c r="AX10" s="33">
        <v>8.75</v>
      </c>
      <c r="AY10" s="33">
        <v>9</v>
      </c>
      <c r="AZ10" s="33">
        <v>16.666666666666668</v>
      </c>
      <c r="BA10" s="33">
        <v>7.5</v>
      </c>
      <c r="BB10" s="33">
        <v>8.3333333333333339</v>
      </c>
      <c r="BC10" s="33">
        <v>10</v>
      </c>
      <c r="BD10" s="34">
        <v>0</v>
      </c>
      <c r="BE10" s="33">
        <v>0</v>
      </c>
      <c r="BF10" s="30">
        <v>15</v>
      </c>
      <c r="BG10" s="30">
        <v>100</v>
      </c>
      <c r="BH10" s="30">
        <v>20</v>
      </c>
      <c r="BI10" s="30">
        <v>15</v>
      </c>
      <c r="BJ10" s="30">
        <v>0</v>
      </c>
      <c r="BK10" s="30">
        <v>15</v>
      </c>
      <c r="BL10" s="30">
        <v>5</v>
      </c>
      <c r="BM10" s="30">
        <v>5</v>
      </c>
      <c r="BN10" s="33">
        <v>7.5</v>
      </c>
      <c r="BO10" s="30">
        <v>30</v>
      </c>
      <c r="BP10" s="30">
        <v>20</v>
      </c>
      <c r="BQ10" s="30">
        <v>15</v>
      </c>
      <c r="BR10" s="30">
        <v>20</v>
      </c>
      <c r="BS10" s="30">
        <v>20</v>
      </c>
      <c r="BT10" s="30">
        <v>20</v>
      </c>
      <c r="BU10" s="30">
        <v>10</v>
      </c>
      <c r="BV10" s="30">
        <v>45</v>
      </c>
      <c r="BW10" s="31" t="s">
        <v>234</v>
      </c>
      <c r="BX10" s="31" t="s">
        <v>234</v>
      </c>
      <c r="BY10" s="31" t="s">
        <v>234</v>
      </c>
      <c r="BZ10" s="31" t="s">
        <v>234</v>
      </c>
      <c r="CA10" s="31" t="s">
        <v>234</v>
      </c>
      <c r="CB10" s="31" t="s">
        <v>234</v>
      </c>
      <c r="CC10" s="31" t="s">
        <v>234</v>
      </c>
      <c r="CD10" s="33">
        <v>18.75</v>
      </c>
      <c r="CE10" s="33">
        <v>22</v>
      </c>
      <c r="CF10" s="33">
        <v>21.666666666666668</v>
      </c>
      <c r="CG10" s="33">
        <v>20</v>
      </c>
      <c r="CH10" s="33">
        <v>25</v>
      </c>
      <c r="CI10" s="33">
        <v>18.75</v>
      </c>
      <c r="CJ10" s="31" t="s">
        <v>235</v>
      </c>
      <c r="CK10" s="33">
        <v>0</v>
      </c>
      <c r="CL10" s="30">
        <v>20</v>
      </c>
      <c r="CM10" s="30">
        <v>100</v>
      </c>
      <c r="CN10" s="31" t="s">
        <v>759</v>
      </c>
      <c r="CO10" s="31" t="s">
        <v>760</v>
      </c>
      <c r="CP10" s="30"/>
      <c r="CQ10" s="32">
        <v>45100</v>
      </c>
      <c r="CR10" s="30">
        <f t="shared" si="1"/>
        <v>122</v>
      </c>
      <c r="CS10" s="30"/>
      <c r="CT10" s="30">
        <v>5</v>
      </c>
      <c r="CU10" s="30">
        <v>10</v>
      </c>
      <c r="CV10" s="30">
        <v>5</v>
      </c>
      <c r="CW10" s="30">
        <v>15</v>
      </c>
      <c r="CX10" s="30">
        <v>0</v>
      </c>
      <c r="CY10" s="30">
        <v>15</v>
      </c>
      <c r="CZ10" s="33">
        <v>8.75</v>
      </c>
      <c r="DA10" s="30">
        <v>10</v>
      </c>
      <c r="DB10" s="30">
        <v>5</v>
      </c>
      <c r="DC10" s="30">
        <v>10</v>
      </c>
      <c r="DD10" s="30">
        <v>0</v>
      </c>
      <c r="DE10" s="30">
        <v>5</v>
      </c>
      <c r="DF10" s="30">
        <v>0</v>
      </c>
      <c r="DG10" s="30">
        <v>5</v>
      </c>
      <c r="DH10" s="30">
        <v>5</v>
      </c>
      <c r="DI10" s="30" t="s">
        <v>277</v>
      </c>
      <c r="DJ10" s="30" t="s">
        <v>277</v>
      </c>
      <c r="DK10" s="30" t="s">
        <v>277</v>
      </c>
      <c r="DL10" s="30" t="s">
        <v>277</v>
      </c>
      <c r="DM10" s="30" t="s">
        <v>277</v>
      </c>
      <c r="DN10" s="30" t="s">
        <v>277</v>
      </c>
      <c r="DO10" s="30" t="s">
        <v>277</v>
      </c>
      <c r="DP10" s="33">
        <v>3.75</v>
      </c>
      <c r="DQ10" s="33">
        <v>5</v>
      </c>
      <c r="DR10" s="33">
        <v>8.3333333333333339</v>
      </c>
      <c r="DS10" s="33">
        <v>2.5</v>
      </c>
      <c r="DT10" s="33">
        <v>3.3333333333333335</v>
      </c>
      <c r="DU10" s="33">
        <v>3.75</v>
      </c>
      <c r="DV10" s="30">
        <v>4</v>
      </c>
      <c r="DW10" s="33">
        <v>0</v>
      </c>
      <c r="DX10" s="30">
        <v>10</v>
      </c>
      <c r="DY10" s="30">
        <v>100</v>
      </c>
      <c r="DZ10" s="30">
        <v>10</v>
      </c>
      <c r="EA10" s="30">
        <v>10</v>
      </c>
      <c r="EB10" s="30">
        <v>10</v>
      </c>
      <c r="EC10" s="30">
        <v>5</v>
      </c>
      <c r="ED10" s="30">
        <v>15</v>
      </c>
      <c r="EE10" s="30">
        <v>0</v>
      </c>
      <c r="EF10" s="33">
        <v>8.75</v>
      </c>
      <c r="EG10" s="30">
        <v>15</v>
      </c>
      <c r="EH10" s="30">
        <v>10</v>
      </c>
      <c r="EI10" s="30">
        <v>10</v>
      </c>
      <c r="EJ10" s="30">
        <v>10</v>
      </c>
      <c r="EK10" s="30">
        <v>5</v>
      </c>
      <c r="EL10" s="30">
        <v>15</v>
      </c>
      <c r="EM10" s="30">
        <v>10</v>
      </c>
      <c r="EN10" s="30">
        <v>10</v>
      </c>
      <c r="EO10" s="30" t="s">
        <v>277</v>
      </c>
      <c r="EP10" s="30" t="s">
        <v>277</v>
      </c>
      <c r="EQ10" s="30" t="s">
        <v>277</v>
      </c>
      <c r="ER10" s="30" t="s">
        <v>277</v>
      </c>
      <c r="ES10" s="30" t="s">
        <v>277</v>
      </c>
      <c r="ET10" s="30" t="s">
        <v>277</v>
      </c>
      <c r="EU10" s="30" t="s">
        <v>277</v>
      </c>
      <c r="EV10" s="33">
        <v>8.75</v>
      </c>
      <c r="EW10" s="33">
        <v>9</v>
      </c>
      <c r="EX10" s="33">
        <v>11.666666666666666</v>
      </c>
      <c r="EY10" s="33">
        <v>7.5</v>
      </c>
      <c r="EZ10" s="33">
        <v>11.666666666666666</v>
      </c>
      <c r="FA10" s="33">
        <v>10</v>
      </c>
      <c r="FB10" s="30">
        <v>4</v>
      </c>
      <c r="FC10" s="33">
        <v>0</v>
      </c>
      <c r="FD10" s="30">
        <v>15</v>
      </c>
      <c r="FE10" s="30">
        <v>100</v>
      </c>
      <c r="FF10" s="30" t="s">
        <v>761</v>
      </c>
      <c r="FG10" s="30" t="s">
        <v>762</v>
      </c>
      <c r="FH10" s="30"/>
      <c r="FI10" s="32">
        <v>45173</v>
      </c>
      <c r="FJ10" s="30">
        <f t="shared" si="2"/>
        <v>195</v>
      </c>
      <c r="FK10" s="30"/>
      <c r="FL10" s="30">
        <v>0</v>
      </c>
      <c r="FM10" s="30">
        <v>5</v>
      </c>
      <c r="FN10" s="30">
        <v>0</v>
      </c>
      <c r="FO10" s="30">
        <v>0</v>
      </c>
      <c r="FP10" s="30">
        <v>0</v>
      </c>
      <c r="FQ10" s="30">
        <v>5</v>
      </c>
      <c r="FR10" s="33">
        <v>1.25</v>
      </c>
      <c r="FS10" s="30">
        <v>5</v>
      </c>
      <c r="FT10" s="30">
        <v>0</v>
      </c>
      <c r="FU10" s="30">
        <v>5</v>
      </c>
      <c r="FV10" s="30">
        <v>0</v>
      </c>
      <c r="FW10" s="30">
        <v>0</v>
      </c>
      <c r="FX10" s="30">
        <v>0</v>
      </c>
      <c r="FY10" s="30">
        <v>5</v>
      </c>
      <c r="FZ10" s="30">
        <v>0</v>
      </c>
      <c r="GA10" s="30" t="s">
        <v>234</v>
      </c>
      <c r="GB10" s="30" t="s">
        <v>234</v>
      </c>
      <c r="GC10" s="30" t="s">
        <v>234</v>
      </c>
      <c r="GD10" s="30" t="s">
        <v>234</v>
      </c>
      <c r="GE10" s="30" t="s">
        <v>234</v>
      </c>
      <c r="GF10" s="30" t="s">
        <v>234</v>
      </c>
      <c r="GG10" s="30" t="s">
        <v>234</v>
      </c>
      <c r="GH10" s="33">
        <v>1.25</v>
      </c>
      <c r="GI10" s="33">
        <v>2</v>
      </c>
      <c r="GJ10" s="33">
        <v>3.3333333333333335</v>
      </c>
      <c r="GK10" s="33">
        <v>0</v>
      </c>
      <c r="GL10" s="33">
        <v>1.6666666666666667</v>
      </c>
      <c r="GM10" s="33">
        <v>1.25</v>
      </c>
      <c r="GN10" s="30">
        <v>4</v>
      </c>
      <c r="GO10" s="33">
        <v>0</v>
      </c>
      <c r="GP10" s="30">
        <v>10</v>
      </c>
      <c r="GQ10" s="30">
        <v>100</v>
      </c>
      <c r="GR10" s="30">
        <v>5</v>
      </c>
      <c r="GS10" s="30">
        <v>10</v>
      </c>
      <c r="GT10" s="30">
        <v>5</v>
      </c>
      <c r="GU10" s="30">
        <v>0</v>
      </c>
      <c r="GV10" s="30">
        <v>10</v>
      </c>
      <c r="GW10" s="30">
        <v>5</v>
      </c>
      <c r="GX10" s="30">
        <v>5</v>
      </c>
      <c r="GY10" s="30">
        <v>15</v>
      </c>
      <c r="GZ10" s="30">
        <v>5</v>
      </c>
      <c r="HA10" s="30">
        <v>10</v>
      </c>
      <c r="HB10" s="30">
        <v>5</v>
      </c>
      <c r="HC10" s="30">
        <v>0</v>
      </c>
      <c r="HD10" s="30">
        <v>10</v>
      </c>
      <c r="HE10" s="30">
        <v>10</v>
      </c>
      <c r="HF10" s="30">
        <v>10</v>
      </c>
      <c r="HG10" s="30" t="s">
        <v>277</v>
      </c>
      <c r="HH10" s="30" t="s">
        <v>277</v>
      </c>
      <c r="HI10" s="30" t="s">
        <v>277</v>
      </c>
      <c r="HJ10" s="30" t="s">
        <v>277</v>
      </c>
      <c r="HK10" s="30" t="s">
        <v>277</v>
      </c>
      <c r="HL10" s="30" t="s">
        <v>277</v>
      </c>
      <c r="HM10" s="30" t="s">
        <v>277</v>
      </c>
      <c r="HN10" s="30">
        <v>5</v>
      </c>
      <c r="HO10" s="30">
        <v>7</v>
      </c>
      <c r="HP10" s="30">
        <v>10</v>
      </c>
      <c r="HQ10" s="30">
        <v>2.5</v>
      </c>
      <c r="HR10" s="30">
        <v>10</v>
      </c>
      <c r="HS10" s="30">
        <v>6.25</v>
      </c>
      <c r="HT10" s="30"/>
      <c r="HU10" s="30">
        <v>4</v>
      </c>
      <c r="HV10" s="30">
        <v>0</v>
      </c>
      <c r="HW10" s="30">
        <v>10</v>
      </c>
      <c r="HX10" s="30">
        <v>100</v>
      </c>
      <c r="HY10" s="30" t="s">
        <v>763</v>
      </c>
      <c r="HZ10" s="30" t="s">
        <v>764</v>
      </c>
      <c r="IA10" s="30"/>
      <c r="IB10" s="32">
        <v>45313</v>
      </c>
      <c r="IC10" s="84">
        <f t="shared" si="3"/>
        <v>335</v>
      </c>
      <c r="ID10" s="30"/>
      <c r="IE10" s="30">
        <v>0</v>
      </c>
      <c r="IF10" s="30">
        <v>5</v>
      </c>
      <c r="IG10" s="30">
        <v>0</v>
      </c>
      <c r="IH10" s="30">
        <v>0</v>
      </c>
      <c r="II10" s="30">
        <v>0</v>
      </c>
      <c r="IJ10" s="30">
        <v>0</v>
      </c>
      <c r="IK10" s="30">
        <v>1.25</v>
      </c>
      <c r="IL10" s="30">
        <v>10</v>
      </c>
      <c r="IM10" s="30">
        <v>0</v>
      </c>
      <c r="IN10" s="30">
        <v>5</v>
      </c>
      <c r="IO10" s="30">
        <v>0</v>
      </c>
      <c r="IP10" s="30">
        <v>0</v>
      </c>
      <c r="IQ10" s="30">
        <v>0</v>
      </c>
      <c r="IR10" s="30">
        <v>0</v>
      </c>
      <c r="IS10" s="30">
        <v>5</v>
      </c>
      <c r="IT10" s="30" t="s">
        <v>277</v>
      </c>
      <c r="IU10" s="30" t="s">
        <v>277</v>
      </c>
      <c r="IV10" s="30" t="s">
        <v>277</v>
      </c>
      <c r="IW10" s="30" t="s">
        <v>277</v>
      </c>
      <c r="IX10" s="30" t="s">
        <v>277</v>
      </c>
      <c r="IY10" s="30" t="s">
        <v>277</v>
      </c>
      <c r="IZ10" s="30" t="s">
        <v>277</v>
      </c>
      <c r="JA10" s="30">
        <v>1.25</v>
      </c>
      <c r="JB10" s="30">
        <v>2</v>
      </c>
      <c r="JC10" s="30">
        <v>5</v>
      </c>
      <c r="JD10" s="30">
        <v>0</v>
      </c>
      <c r="JE10" s="30">
        <v>1.6666666666666667</v>
      </c>
      <c r="JF10" s="30">
        <v>1.25</v>
      </c>
      <c r="JG10" s="30">
        <v>4</v>
      </c>
      <c r="JH10" s="30">
        <v>0</v>
      </c>
      <c r="JI10" s="30">
        <v>10</v>
      </c>
      <c r="JJ10" s="30">
        <v>100</v>
      </c>
      <c r="JK10" s="30">
        <v>5</v>
      </c>
      <c r="JL10" s="30">
        <v>10</v>
      </c>
      <c r="JM10" s="30">
        <v>10</v>
      </c>
      <c r="JN10" s="30">
        <v>0</v>
      </c>
      <c r="JO10" s="30">
        <v>5</v>
      </c>
      <c r="JP10" s="30">
        <v>5</v>
      </c>
      <c r="JQ10" s="30">
        <v>7.5</v>
      </c>
      <c r="JR10" s="30">
        <v>15</v>
      </c>
      <c r="JS10" s="30">
        <v>5</v>
      </c>
      <c r="JT10" s="30">
        <v>10</v>
      </c>
      <c r="JU10" s="30">
        <v>10</v>
      </c>
      <c r="JV10" s="30">
        <v>0</v>
      </c>
      <c r="JW10" s="30">
        <v>5</v>
      </c>
      <c r="JX10" s="30">
        <v>5</v>
      </c>
      <c r="JY10" s="30">
        <v>10</v>
      </c>
      <c r="JZ10" s="30" t="s">
        <v>277</v>
      </c>
      <c r="KA10" s="30" t="s">
        <v>277</v>
      </c>
      <c r="KB10" s="30" t="s">
        <v>277</v>
      </c>
      <c r="KC10" s="30" t="s">
        <v>277</v>
      </c>
      <c r="KD10" s="30" t="s">
        <v>277</v>
      </c>
      <c r="KE10" s="30" t="s">
        <v>277</v>
      </c>
      <c r="KF10" s="30" t="s">
        <v>277</v>
      </c>
      <c r="KG10" s="30">
        <v>7.5</v>
      </c>
      <c r="KH10" s="30">
        <v>7</v>
      </c>
      <c r="KI10" s="30">
        <v>10</v>
      </c>
      <c r="KJ10" s="30">
        <v>5</v>
      </c>
      <c r="KK10" s="30">
        <v>6.666666666666667</v>
      </c>
      <c r="KL10" s="30">
        <v>6.25</v>
      </c>
      <c r="KM10" s="30">
        <v>4</v>
      </c>
      <c r="KN10" s="30">
        <v>0</v>
      </c>
      <c r="KO10" s="30">
        <v>10</v>
      </c>
      <c r="KP10" s="30">
        <v>100</v>
      </c>
      <c r="KQ10" s="30" t="s">
        <v>765</v>
      </c>
      <c r="KR10" s="30" t="s">
        <v>766</v>
      </c>
      <c r="KS10" s="30"/>
    </row>
    <row r="11" spans="1:305" hidden="1">
      <c r="A11" s="1" t="s">
        <v>875</v>
      </c>
      <c r="B11" s="91">
        <v>71</v>
      </c>
      <c r="C11" s="95" t="str">
        <f>LOOKUP(B11,{0,20,30,40,50,60},{"10","20","30","40","50","60","70","80","90"})</f>
        <v>60</v>
      </c>
      <c r="D11" s="91" t="s">
        <v>888</v>
      </c>
      <c r="E11" s="1"/>
      <c r="F11" s="99">
        <v>44750</v>
      </c>
      <c r="G11" s="100"/>
      <c r="H11" s="95" t="s">
        <v>115</v>
      </c>
      <c r="I11" s="90">
        <v>44789</v>
      </c>
      <c r="J11" s="1"/>
      <c r="K11" s="91" t="s">
        <v>727</v>
      </c>
      <c r="L11" s="100"/>
      <c r="M11" s="100"/>
      <c r="N11" s="100"/>
      <c r="O11" s="99">
        <v>44788</v>
      </c>
      <c r="P11" s="99"/>
      <c r="Q11" s="99"/>
      <c r="R11" s="99"/>
      <c r="S11" s="92">
        <v>44888</v>
      </c>
      <c r="T11" s="92">
        <v>44979</v>
      </c>
      <c r="U11" s="92"/>
      <c r="V11" s="92"/>
      <c r="W11" s="92"/>
      <c r="X11" s="92">
        <v>45161</v>
      </c>
      <c r="Y11" s="92">
        <v>44783</v>
      </c>
      <c r="Z11" s="30">
        <f t="shared" si="0"/>
        <v>-6</v>
      </c>
      <c r="AA11" s="30"/>
      <c r="AB11" s="30">
        <v>5</v>
      </c>
      <c r="AC11" s="30">
        <v>20</v>
      </c>
      <c r="AD11" s="30">
        <v>15</v>
      </c>
      <c r="AE11" s="30">
        <v>40</v>
      </c>
      <c r="AF11" s="30">
        <v>40</v>
      </c>
      <c r="AG11" s="30">
        <v>35</v>
      </c>
      <c r="AH11" s="33">
        <v>22.5</v>
      </c>
      <c r="AI11" s="30">
        <v>55</v>
      </c>
      <c r="AJ11" s="30">
        <v>40</v>
      </c>
      <c r="AK11" s="30">
        <v>35</v>
      </c>
      <c r="AL11" s="30">
        <v>35</v>
      </c>
      <c r="AM11" s="30">
        <v>40</v>
      </c>
      <c r="AN11" s="30">
        <v>50</v>
      </c>
      <c r="AO11" s="30">
        <v>50</v>
      </c>
      <c r="AP11" s="30">
        <v>75</v>
      </c>
      <c r="AQ11" s="31" t="s">
        <v>234</v>
      </c>
      <c r="AR11" s="31" t="s">
        <v>234</v>
      </c>
      <c r="AS11" s="31" t="s">
        <v>234</v>
      </c>
      <c r="AT11" s="31" t="s">
        <v>234</v>
      </c>
      <c r="AU11" s="31" t="s">
        <v>234</v>
      </c>
      <c r="AV11" s="31" t="s">
        <v>234</v>
      </c>
      <c r="AW11" s="31" t="s">
        <v>234</v>
      </c>
      <c r="AX11" s="33">
        <v>36.25</v>
      </c>
      <c r="AY11" s="33">
        <v>47</v>
      </c>
      <c r="AZ11" s="33">
        <v>43.333333333333336</v>
      </c>
      <c r="BA11" s="33">
        <v>37.5</v>
      </c>
      <c r="BB11" s="33">
        <v>58.333333333333336</v>
      </c>
      <c r="BC11" s="33">
        <v>40</v>
      </c>
      <c r="BD11" s="34" t="s">
        <v>235</v>
      </c>
      <c r="BE11" s="33">
        <v>1</v>
      </c>
      <c r="BF11" s="30">
        <v>45</v>
      </c>
      <c r="BG11" s="30">
        <v>100</v>
      </c>
      <c r="BH11" s="30">
        <v>10</v>
      </c>
      <c r="BI11" s="30">
        <v>20</v>
      </c>
      <c r="BJ11" s="30">
        <v>20</v>
      </c>
      <c r="BK11" s="30">
        <v>35</v>
      </c>
      <c r="BL11" s="30">
        <v>25</v>
      </c>
      <c r="BM11" s="30">
        <v>35</v>
      </c>
      <c r="BN11" s="33">
        <v>23.75</v>
      </c>
      <c r="BO11" s="30">
        <v>10</v>
      </c>
      <c r="BP11" s="30">
        <v>10</v>
      </c>
      <c r="BQ11" s="30">
        <v>20</v>
      </c>
      <c r="BR11" s="30">
        <v>20</v>
      </c>
      <c r="BS11" s="30">
        <v>35</v>
      </c>
      <c r="BT11" s="30">
        <v>25</v>
      </c>
      <c r="BU11" s="30">
        <v>35</v>
      </c>
      <c r="BV11" s="30">
        <v>65</v>
      </c>
      <c r="BW11" s="31" t="s">
        <v>234</v>
      </c>
      <c r="BX11" s="31" t="s">
        <v>234</v>
      </c>
      <c r="BY11" s="31" t="s">
        <v>234</v>
      </c>
      <c r="BZ11" s="31" t="s">
        <v>234</v>
      </c>
      <c r="CA11" s="31" t="s">
        <v>234</v>
      </c>
      <c r="CB11" s="31" t="s">
        <v>234</v>
      </c>
      <c r="CC11" s="31" t="s">
        <v>234</v>
      </c>
      <c r="CD11" s="33">
        <v>23.75</v>
      </c>
      <c r="CE11" s="33">
        <v>35</v>
      </c>
      <c r="CF11" s="33">
        <v>13.333333333333334</v>
      </c>
      <c r="CG11" s="33">
        <v>27.5</v>
      </c>
      <c r="CH11" s="33">
        <v>41.666666666666664</v>
      </c>
      <c r="CI11" s="33">
        <v>25</v>
      </c>
      <c r="CJ11" s="30">
        <v>3</v>
      </c>
      <c r="CK11" s="33">
        <v>1</v>
      </c>
      <c r="CL11" s="30">
        <v>30</v>
      </c>
      <c r="CM11" s="30">
        <v>100</v>
      </c>
      <c r="CN11" s="31" t="s">
        <v>767</v>
      </c>
      <c r="CO11" s="31" t="s">
        <v>768</v>
      </c>
      <c r="CP11" s="30"/>
      <c r="CQ11" s="32">
        <v>44888</v>
      </c>
      <c r="CR11" s="30">
        <f t="shared" si="1"/>
        <v>99</v>
      </c>
      <c r="CS11" s="30"/>
      <c r="CT11" s="30">
        <v>5</v>
      </c>
      <c r="CU11" s="30">
        <v>20</v>
      </c>
      <c r="CV11" s="30">
        <v>10</v>
      </c>
      <c r="CW11" s="30">
        <v>40</v>
      </c>
      <c r="CX11" s="30">
        <v>25</v>
      </c>
      <c r="CY11" s="30">
        <v>20</v>
      </c>
      <c r="CZ11" s="33">
        <v>20</v>
      </c>
      <c r="DA11" s="30">
        <v>25</v>
      </c>
      <c r="DB11" s="30">
        <v>20</v>
      </c>
      <c r="DC11" s="30">
        <v>20</v>
      </c>
      <c r="DD11" s="30">
        <v>25</v>
      </c>
      <c r="DE11" s="30">
        <v>40</v>
      </c>
      <c r="DF11" s="30">
        <v>55</v>
      </c>
      <c r="DG11" s="30">
        <v>40</v>
      </c>
      <c r="DH11" s="30">
        <v>85</v>
      </c>
      <c r="DI11" s="30"/>
      <c r="DJ11" s="30"/>
      <c r="DK11" s="30"/>
      <c r="DL11" s="30"/>
      <c r="DM11" s="30"/>
      <c r="DN11" s="30"/>
      <c r="DO11" s="30"/>
      <c r="DP11" s="33">
        <v>27.5</v>
      </c>
      <c r="DQ11" s="33">
        <v>42</v>
      </c>
      <c r="DR11" s="33">
        <v>21.666666666666668</v>
      </c>
      <c r="DS11" s="33">
        <v>32.5</v>
      </c>
      <c r="DT11" s="33">
        <v>60</v>
      </c>
      <c r="DU11" s="33">
        <v>35</v>
      </c>
      <c r="DV11" s="30">
        <v>3</v>
      </c>
      <c r="DW11" s="33">
        <v>1</v>
      </c>
      <c r="DX11" s="30">
        <v>35</v>
      </c>
      <c r="DY11" s="30">
        <v>100</v>
      </c>
      <c r="DZ11" s="30">
        <v>5</v>
      </c>
      <c r="EA11" s="30">
        <v>10</v>
      </c>
      <c r="EB11" s="30">
        <v>20</v>
      </c>
      <c r="EC11" s="30">
        <v>30</v>
      </c>
      <c r="ED11" s="30">
        <v>20</v>
      </c>
      <c r="EE11" s="30">
        <v>25</v>
      </c>
      <c r="EF11" s="33">
        <v>20</v>
      </c>
      <c r="EG11" s="30">
        <v>10</v>
      </c>
      <c r="EH11" s="30">
        <v>5</v>
      </c>
      <c r="EI11" s="30">
        <v>10</v>
      </c>
      <c r="EJ11" s="30">
        <v>20</v>
      </c>
      <c r="EK11" s="30">
        <v>30</v>
      </c>
      <c r="EL11" s="30">
        <v>20</v>
      </c>
      <c r="EM11" s="30">
        <v>25</v>
      </c>
      <c r="EN11" s="30">
        <v>65</v>
      </c>
      <c r="EO11" s="30" t="s">
        <v>277</v>
      </c>
      <c r="EP11" s="30" t="s">
        <v>277</v>
      </c>
      <c r="EQ11" s="30" t="s">
        <v>277</v>
      </c>
      <c r="ER11" s="30" t="s">
        <v>277</v>
      </c>
      <c r="ES11" s="30" t="s">
        <v>277</v>
      </c>
      <c r="ET11" s="30" t="s">
        <v>277</v>
      </c>
      <c r="EU11" s="30" t="s">
        <v>277</v>
      </c>
      <c r="EV11" s="33">
        <v>20</v>
      </c>
      <c r="EW11" s="33">
        <v>30</v>
      </c>
      <c r="EX11" s="33">
        <v>8.3333333333333339</v>
      </c>
      <c r="EY11" s="33">
        <v>25</v>
      </c>
      <c r="EZ11" s="33">
        <v>36.666666666666664</v>
      </c>
      <c r="FA11" s="33">
        <v>20</v>
      </c>
      <c r="FB11" s="30">
        <v>3</v>
      </c>
      <c r="FC11" s="33">
        <v>0</v>
      </c>
      <c r="FD11" s="30">
        <v>20</v>
      </c>
      <c r="FE11" s="30">
        <v>100</v>
      </c>
      <c r="FF11" s="30" t="s">
        <v>769</v>
      </c>
      <c r="FG11" s="30" t="s">
        <v>770</v>
      </c>
      <c r="FH11" s="30"/>
      <c r="FI11" s="32">
        <v>44979</v>
      </c>
      <c r="FJ11" s="30">
        <f t="shared" si="2"/>
        <v>190</v>
      </c>
      <c r="FK11" s="30"/>
      <c r="FL11" s="30">
        <v>0</v>
      </c>
      <c r="FM11" s="30">
        <v>20</v>
      </c>
      <c r="FN11" s="30">
        <v>15</v>
      </c>
      <c r="FO11" s="30">
        <v>30</v>
      </c>
      <c r="FP11" s="30">
        <v>30</v>
      </c>
      <c r="FQ11" s="30">
        <v>30</v>
      </c>
      <c r="FR11" s="33">
        <v>20</v>
      </c>
      <c r="FS11" s="30">
        <v>20</v>
      </c>
      <c r="FT11" s="30">
        <v>20</v>
      </c>
      <c r="FU11" s="30">
        <v>20</v>
      </c>
      <c r="FV11" s="30">
        <v>20</v>
      </c>
      <c r="FW11" s="30">
        <v>30</v>
      </c>
      <c r="FX11" s="30">
        <v>30</v>
      </c>
      <c r="FY11" s="30">
        <v>35</v>
      </c>
      <c r="FZ11" s="30">
        <v>70</v>
      </c>
      <c r="GA11" s="30"/>
      <c r="GB11" s="30"/>
      <c r="GC11" s="30"/>
      <c r="GD11" s="30"/>
      <c r="GE11" s="30"/>
      <c r="GF11" s="30"/>
      <c r="GG11" s="30"/>
      <c r="GH11" s="33">
        <v>22.5</v>
      </c>
      <c r="GI11" s="33">
        <v>35</v>
      </c>
      <c r="GJ11" s="33">
        <v>20</v>
      </c>
      <c r="GK11" s="33">
        <v>25</v>
      </c>
      <c r="GL11" s="33">
        <v>45</v>
      </c>
      <c r="GM11" s="33">
        <v>25</v>
      </c>
      <c r="GN11" s="30">
        <v>3</v>
      </c>
      <c r="GO11" s="33">
        <v>1</v>
      </c>
      <c r="GP11" s="30">
        <v>30</v>
      </c>
      <c r="GQ11" s="30">
        <v>100</v>
      </c>
      <c r="GR11" s="30">
        <v>10</v>
      </c>
      <c r="GS11" s="30">
        <v>15</v>
      </c>
      <c r="GT11" s="30">
        <v>15</v>
      </c>
      <c r="GU11" s="30">
        <v>30</v>
      </c>
      <c r="GV11" s="30">
        <v>20</v>
      </c>
      <c r="GW11" s="30">
        <v>30</v>
      </c>
      <c r="GX11" s="30">
        <v>18.75</v>
      </c>
      <c r="GY11" s="30">
        <v>15</v>
      </c>
      <c r="GZ11" s="30">
        <v>10</v>
      </c>
      <c r="HA11" s="30">
        <v>15</v>
      </c>
      <c r="HB11" s="30">
        <v>15</v>
      </c>
      <c r="HC11" s="30">
        <v>30</v>
      </c>
      <c r="HD11" s="30">
        <v>20</v>
      </c>
      <c r="HE11" s="30">
        <v>30</v>
      </c>
      <c r="HF11" s="30">
        <v>55</v>
      </c>
      <c r="HG11" s="30"/>
      <c r="HH11" s="30"/>
      <c r="HI11" s="30"/>
      <c r="HJ11" s="30"/>
      <c r="HK11" s="30"/>
      <c r="HL11" s="30"/>
      <c r="HM11" s="30"/>
      <c r="HN11" s="30">
        <v>18.75</v>
      </c>
      <c r="HO11" s="30">
        <v>29</v>
      </c>
      <c r="HP11" s="30">
        <v>13.333333333333334</v>
      </c>
      <c r="HQ11" s="30">
        <v>22.5</v>
      </c>
      <c r="HR11" s="30">
        <v>35</v>
      </c>
      <c r="HS11" s="30">
        <v>20</v>
      </c>
      <c r="HT11" s="30"/>
      <c r="HU11" s="30">
        <v>3</v>
      </c>
      <c r="HV11" s="30">
        <v>0</v>
      </c>
      <c r="HW11" s="30">
        <v>20</v>
      </c>
      <c r="HX11" s="30">
        <v>100</v>
      </c>
      <c r="HY11" s="30" t="s">
        <v>771</v>
      </c>
      <c r="HZ11" s="30" t="s">
        <v>772</v>
      </c>
      <c r="IA11" s="30"/>
      <c r="IB11" s="32">
        <v>45161</v>
      </c>
      <c r="IC11" s="84">
        <f t="shared" si="3"/>
        <v>372</v>
      </c>
      <c r="ID11" s="30"/>
      <c r="IE11" s="30">
        <v>5</v>
      </c>
      <c r="IF11" s="30">
        <v>25</v>
      </c>
      <c r="IG11" s="30">
        <v>20</v>
      </c>
      <c r="IH11" s="30">
        <v>35</v>
      </c>
      <c r="II11" s="30">
        <v>30</v>
      </c>
      <c r="IJ11" s="30">
        <v>45</v>
      </c>
      <c r="IK11" s="30">
        <v>25</v>
      </c>
      <c r="IL11" s="30">
        <v>20</v>
      </c>
      <c r="IM11" s="30">
        <v>15</v>
      </c>
      <c r="IN11" s="30">
        <v>25</v>
      </c>
      <c r="IO11" s="30">
        <v>20</v>
      </c>
      <c r="IP11" s="30">
        <v>35</v>
      </c>
      <c r="IQ11" s="30">
        <v>30</v>
      </c>
      <c r="IR11" s="30">
        <v>45</v>
      </c>
      <c r="IS11" s="30">
        <v>85</v>
      </c>
      <c r="IT11" s="30"/>
      <c r="IU11" s="30"/>
      <c r="IV11" s="30"/>
      <c r="IW11" s="30"/>
      <c r="IX11" s="30"/>
      <c r="IY11" s="30"/>
      <c r="IZ11" s="30"/>
      <c r="JA11" s="30">
        <v>25</v>
      </c>
      <c r="JB11" s="30">
        <v>42</v>
      </c>
      <c r="JC11" s="30">
        <v>20</v>
      </c>
      <c r="JD11" s="30">
        <v>27.5</v>
      </c>
      <c r="JE11" s="30">
        <v>53.333333333333336</v>
      </c>
      <c r="JF11" s="30">
        <v>27.5</v>
      </c>
      <c r="JG11" s="30">
        <v>3</v>
      </c>
      <c r="JH11" s="30">
        <v>1</v>
      </c>
      <c r="JI11" s="30">
        <v>25</v>
      </c>
      <c r="JJ11" s="30">
        <v>96</v>
      </c>
      <c r="JK11" s="30">
        <v>10</v>
      </c>
      <c r="JL11" s="30">
        <v>15</v>
      </c>
      <c r="JM11" s="30">
        <v>20</v>
      </c>
      <c r="JN11" s="30">
        <v>30</v>
      </c>
      <c r="JO11" s="30">
        <v>25</v>
      </c>
      <c r="JP11" s="30">
        <v>40</v>
      </c>
      <c r="JQ11" s="30">
        <v>21.25</v>
      </c>
      <c r="JR11" s="30">
        <v>15</v>
      </c>
      <c r="JS11" s="30">
        <v>10</v>
      </c>
      <c r="JT11" s="30">
        <v>15</v>
      </c>
      <c r="JU11" s="30">
        <v>20</v>
      </c>
      <c r="JV11" s="30">
        <v>30</v>
      </c>
      <c r="JW11" s="30">
        <v>25</v>
      </c>
      <c r="JX11" s="30">
        <v>40</v>
      </c>
      <c r="JY11" s="30">
        <v>55</v>
      </c>
      <c r="JZ11" s="30" t="s">
        <v>277</v>
      </c>
      <c r="KA11" s="30" t="s">
        <v>277</v>
      </c>
      <c r="KB11" s="30" t="s">
        <v>277</v>
      </c>
      <c r="KC11" s="30" t="s">
        <v>277</v>
      </c>
      <c r="KD11" s="30" t="s">
        <v>277</v>
      </c>
      <c r="KE11" s="30" t="s">
        <v>277</v>
      </c>
      <c r="KF11" s="30" t="s">
        <v>277</v>
      </c>
      <c r="KG11" s="30">
        <v>21.25</v>
      </c>
      <c r="KH11" s="30">
        <v>32</v>
      </c>
      <c r="KI11" s="30">
        <v>13.333333333333334</v>
      </c>
      <c r="KJ11" s="30">
        <v>25</v>
      </c>
      <c r="KK11" s="30">
        <v>40</v>
      </c>
      <c r="KL11" s="30">
        <v>22.5</v>
      </c>
      <c r="KM11" s="30">
        <v>3</v>
      </c>
      <c r="KN11" s="30">
        <v>1</v>
      </c>
      <c r="KO11" s="30">
        <v>20</v>
      </c>
      <c r="KP11" s="30">
        <v>100</v>
      </c>
      <c r="KQ11" s="30" t="s">
        <v>773</v>
      </c>
      <c r="KR11" s="30" t="s">
        <v>774</v>
      </c>
    </row>
    <row r="12" spans="1:305">
      <c r="A12" s="1" t="s">
        <v>972</v>
      </c>
      <c r="B12" s="91">
        <v>59</v>
      </c>
      <c r="C12" s="95" t="str">
        <f>LOOKUP(B12,{0,20,30,40,50,60},{"10","20","30","40","50","60","70","80","90"})</f>
        <v>50</v>
      </c>
      <c r="D12" s="91">
        <v>1</v>
      </c>
      <c r="E12">
        <v>44355</v>
      </c>
      <c r="F12" s="99">
        <v>44765</v>
      </c>
      <c r="G12" s="100"/>
      <c r="H12" s="95" t="s">
        <v>115</v>
      </c>
      <c r="I12" s="90">
        <v>44791</v>
      </c>
      <c r="J12" s="1" t="s">
        <v>964</v>
      </c>
      <c r="K12" s="91" t="s">
        <v>735</v>
      </c>
      <c r="L12" s="100"/>
      <c r="M12" s="100"/>
      <c r="N12" s="100"/>
      <c r="O12" s="125">
        <v>44790</v>
      </c>
      <c r="P12" s="117">
        <f>O12-I12</f>
        <v>-1</v>
      </c>
      <c r="Q12" s="105">
        <v>0</v>
      </c>
      <c r="R12" s="105">
        <v>2</v>
      </c>
      <c r="S12" s="92">
        <v>44902</v>
      </c>
      <c r="T12" s="126">
        <v>44993</v>
      </c>
      <c r="U12" s="118">
        <f>T12-I12</f>
        <v>202</v>
      </c>
      <c r="V12" s="106">
        <v>0</v>
      </c>
      <c r="W12" s="105">
        <v>0</v>
      </c>
      <c r="X12" s="92">
        <v>45182</v>
      </c>
      <c r="Y12" s="92">
        <v>44790</v>
      </c>
      <c r="Z12" s="30">
        <f t="shared" ref="Z12:Z34" si="4">Y12-I12</f>
        <v>-1</v>
      </c>
      <c r="AA12" s="30"/>
      <c r="AB12" s="30">
        <v>10</v>
      </c>
      <c r="AC12" s="30">
        <v>10</v>
      </c>
      <c r="AD12" s="30">
        <v>15</v>
      </c>
      <c r="AE12" s="30">
        <v>30</v>
      </c>
      <c r="AF12" s="30">
        <v>45</v>
      </c>
      <c r="AG12" s="30">
        <v>55</v>
      </c>
      <c r="AH12" s="33">
        <v>17.5</v>
      </c>
      <c r="AI12" s="30">
        <v>15</v>
      </c>
      <c r="AJ12" s="30">
        <v>10</v>
      </c>
      <c r="AK12" s="30">
        <v>10</v>
      </c>
      <c r="AL12" s="30">
        <v>15</v>
      </c>
      <c r="AM12" s="30">
        <v>30</v>
      </c>
      <c r="AN12" s="30">
        <v>45</v>
      </c>
      <c r="AO12" s="30">
        <v>55</v>
      </c>
      <c r="AP12" s="30">
        <v>60</v>
      </c>
      <c r="AQ12" s="31" t="s">
        <v>234</v>
      </c>
      <c r="AR12" s="31" t="s">
        <v>234</v>
      </c>
      <c r="AS12" s="31" t="s">
        <v>234</v>
      </c>
      <c r="AT12" s="31" t="s">
        <v>234</v>
      </c>
      <c r="AU12" s="31" t="s">
        <v>234</v>
      </c>
      <c r="AV12" s="31" t="s">
        <v>234</v>
      </c>
      <c r="AW12" s="31" t="s">
        <v>234</v>
      </c>
      <c r="AX12" s="33">
        <v>17.5</v>
      </c>
      <c r="AY12" s="33">
        <v>34</v>
      </c>
      <c r="AZ12" s="33">
        <v>11.666666666666666</v>
      </c>
      <c r="BA12" s="33">
        <v>22.5</v>
      </c>
      <c r="BB12" s="33">
        <v>53.333333333333336</v>
      </c>
      <c r="BC12" s="33">
        <v>25</v>
      </c>
      <c r="BD12" s="34">
        <v>3</v>
      </c>
      <c r="BE12" s="33">
        <v>1</v>
      </c>
      <c r="BF12" s="30">
        <v>20</v>
      </c>
      <c r="BG12" s="30">
        <v>100</v>
      </c>
      <c r="BH12" s="30">
        <v>25</v>
      </c>
      <c r="BI12" s="30">
        <v>25</v>
      </c>
      <c r="BJ12" s="30">
        <v>15</v>
      </c>
      <c r="BK12" s="30">
        <v>40</v>
      </c>
      <c r="BL12" s="30">
        <v>40</v>
      </c>
      <c r="BM12" s="30">
        <v>35</v>
      </c>
      <c r="BN12" s="33">
        <v>23.75</v>
      </c>
      <c r="BO12" s="30">
        <v>65</v>
      </c>
      <c r="BP12" s="30">
        <v>40</v>
      </c>
      <c r="BQ12" s="30">
        <v>40</v>
      </c>
      <c r="BR12" s="30">
        <v>30</v>
      </c>
      <c r="BS12" s="30">
        <v>40</v>
      </c>
      <c r="BT12" s="30">
        <v>70</v>
      </c>
      <c r="BU12" s="30">
        <v>65</v>
      </c>
      <c r="BV12" s="30">
        <v>95</v>
      </c>
      <c r="BW12" s="31" t="s">
        <v>234</v>
      </c>
      <c r="BX12" s="31" t="s">
        <v>234</v>
      </c>
      <c r="BY12" s="31" t="s">
        <v>234</v>
      </c>
      <c r="BZ12" s="31" t="s">
        <v>234</v>
      </c>
      <c r="CA12" s="31" t="s">
        <v>234</v>
      </c>
      <c r="CB12" s="31" t="s">
        <v>234</v>
      </c>
      <c r="CC12" s="31" t="s">
        <v>234</v>
      </c>
      <c r="CD12" s="33">
        <v>35</v>
      </c>
      <c r="CE12" s="33">
        <v>54</v>
      </c>
      <c r="CF12" s="33">
        <v>48.333333333333336</v>
      </c>
      <c r="CG12" s="33">
        <v>35</v>
      </c>
      <c r="CH12" s="33">
        <v>76.666666666666671</v>
      </c>
      <c r="CI12" s="33">
        <v>45</v>
      </c>
      <c r="CJ12" s="31" t="s">
        <v>235</v>
      </c>
      <c r="CK12" s="33">
        <v>2</v>
      </c>
      <c r="CL12" s="30">
        <v>40</v>
      </c>
      <c r="CM12" s="30">
        <v>88</v>
      </c>
      <c r="CN12" s="30" t="s">
        <v>775</v>
      </c>
      <c r="CO12" s="31" t="s">
        <v>776</v>
      </c>
      <c r="CP12" s="30"/>
      <c r="CQ12" s="32">
        <v>44902</v>
      </c>
      <c r="CR12" s="30">
        <f t="shared" ref="CR12:CR30" si="5">CQ12-I12</f>
        <v>111</v>
      </c>
      <c r="CS12" s="30"/>
      <c r="CT12" s="30">
        <v>5</v>
      </c>
      <c r="CU12" s="30">
        <v>5</v>
      </c>
      <c r="CV12" s="30">
        <v>10</v>
      </c>
      <c r="CW12" s="30">
        <v>25</v>
      </c>
      <c r="CX12" s="30">
        <v>50</v>
      </c>
      <c r="CY12" s="30">
        <v>40</v>
      </c>
      <c r="CZ12" s="33">
        <v>12.5</v>
      </c>
      <c r="DA12" s="30">
        <v>5</v>
      </c>
      <c r="DB12" s="30">
        <v>5</v>
      </c>
      <c r="DC12" s="30">
        <v>5</v>
      </c>
      <c r="DD12" s="30">
        <v>10</v>
      </c>
      <c r="DE12" s="30">
        <v>25</v>
      </c>
      <c r="DF12" s="30">
        <v>50</v>
      </c>
      <c r="DG12" s="30">
        <v>60</v>
      </c>
      <c r="DH12" s="30">
        <v>60</v>
      </c>
      <c r="DI12" s="30">
        <v>60</v>
      </c>
      <c r="DJ12" s="30">
        <v>75</v>
      </c>
      <c r="DK12" s="42">
        <v>75</v>
      </c>
      <c r="DL12" s="42">
        <v>65</v>
      </c>
      <c r="DM12" s="42">
        <v>50</v>
      </c>
      <c r="DN12" s="42">
        <v>20</v>
      </c>
      <c r="DO12" s="62">
        <v>0</v>
      </c>
      <c r="DP12" s="33">
        <v>12.5</v>
      </c>
      <c r="DQ12" s="33">
        <v>32</v>
      </c>
      <c r="DR12" s="33">
        <v>5</v>
      </c>
      <c r="DS12" s="33">
        <v>17.5</v>
      </c>
      <c r="DT12" s="33">
        <v>56.666666666666664</v>
      </c>
      <c r="DU12" s="33">
        <v>22.5</v>
      </c>
      <c r="DV12" s="30">
        <v>3</v>
      </c>
      <c r="DW12" s="33">
        <v>1</v>
      </c>
      <c r="DX12" s="30">
        <v>20</v>
      </c>
      <c r="DY12" s="30">
        <v>95</v>
      </c>
      <c r="DZ12" s="30">
        <v>0</v>
      </c>
      <c r="EA12" s="30">
        <v>5</v>
      </c>
      <c r="EB12" s="30">
        <v>5</v>
      </c>
      <c r="EC12" s="30">
        <v>35</v>
      </c>
      <c r="ED12" s="30">
        <v>30</v>
      </c>
      <c r="EE12" s="30">
        <v>25</v>
      </c>
      <c r="EF12" s="33">
        <v>12.5</v>
      </c>
      <c r="EG12" s="30">
        <v>40</v>
      </c>
      <c r="EH12" s="30">
        <v>30</v>
      </c>
      <c r="EI12" s="30">
        <v>25</v>
      </c>
      <c r="EJ12" s="30">
        <v>25</v>
      </c>
      <c r="EK12" s="30">
        <v>40</v>
      </c>
      <c r="EL12" s="30">
        <v>50</v>
      </c>
      <c r="EM12" s="30">
        <v>70</v>
      </c>
      <c r="EN12" s="30">
        <v>95</v>
      </c>
      <c r="EO12" s="42">
        <v>65</v>
      </c>
      <c r="EP12" s="42">
        <v>85</v>
      </c>
      <c r="EQ12" s="42">
        <v>75</v>
      </c>
      <c r="ER12" s="42">
        <v>65</v>
      </c>
      <c r="ES12" s="42">
        <v>45</v>
      </c>
      <c r="ET12" s="42">
        <v>15</v>
      </c>
      <c r="EU12" s="62">
        <v>0</v>
      </c>
      <c r="EV12" s="33">
        <v>28.75</v>
      </c>
      <c r="EW12" s="33">
        <v>51</v>
      </c>
      <c r="EX12" s="33">
        <v>31.666666666666668</v>
      </c>
      <c r="EY12" s="33">
        <v>32.5</v>
      </c>
      <c r="EZ12" s="33">
        <v>71.666666666666671</v>
      </c>
      <c r="FA12" s="33">
        <v>35</v>
      </c>
      <c r="FB12" s="30">
        <v>3</v>
      </c>
      <c r="FC12" s="33">
        <v>1</v>
      </c>
      <c r="FD12" s="30">
        <v>35</v>
      </c>
      <c r="FE12" s="30">
        <v>80</v>
      </c>
      <c r="FF12" s="30" t="s">
        <v>777</v>
      </c>
      <c r="FG12" s="30"/>
      <c r="FH12" s="30" t="s">
        <v>778</v>
      </c>
      <c r="FI12" s="32">
        <v>44993</v>
      </c>
      <c r="FJ12" s="30">
        <f t="shared" ref="FJ12:FJ33" si="6">FI12-I12</f>
        <v>202</v>
      </c>
      <c r="FK12" s="30"/>
      <c r="FL12" s="30">
        <v>10</v>
      </c>
      <c r="FM12" s="30">
        <v>5</v>
      </c>
      <c r="FN12" s="30">
        <v>10</v>
      </c>
      <c r="FO12" s="30">
        <v>25</v>
      </c>
      <c r="FP12" s="30">
        <v>50</v>
      </c>
      <c r="FQ12" s="30">
        <v>45</v>
      </c>
      <c r="FR12" s="33">
        <v>12.5</v>
      </c>
      <c r="FS12" s="30">
        <v>20</v>
      </c>
      <c r="FT12" s="30">
        <v>10</v>
      </c>
      <c r="FU12" s="30">
        <v>5</v>
      </c>
      <c r="FV12" s="30">
        <v>10</v>
      </c>
      <c r="FW12" s="30">
        <v>25</v>
      </c>
      <c r="FX12" s="30">
        <v>50</v>
      </c>
      <c r="FY12" s="30">
        <v>55</v>
      </c>
      <c r="FZ12" s="30">
        <v>55</v>
      </c>
      <c r="GA12" s="30">
        <v>60</v>
      </c>
      <c r="GB12" s="30">
        <v>75</v>
      </c>
      <c r="GC12" s="42">
        <v>70</v>
      </c>
      <c r="GD12" s="42">
        <v>65</v>
      </c>
      <c r="GE12" s="42">
        <v>45</v>
      </c>
      <c r="GF12" s="42">
        <v>20</v>
      </c>
      <c r="GG12" s="62">
        <v>0</v>
      </c>
      <c r="GH12" s="33">
        <v>12.5</v>
      </c>
      <c r="GI12" s="33">
        <v>30</v>
      </c>
      <c r="GJ12" s="33">
        <v>11.666666666666666</v>
      </c>
      <c r="GK12" s="33">
        <v>17.5</v>
      </c>
      <c r="GL12" s="33">
        <v>53.333333333333336</v>
      </c>
      <c r="GM12" s="33">
        <v>22.5</v>
      </c>
      <c r="GN12" s="30">
        <v>3</v>
      </c>
      <c r="GO12" s="33">
        <v>1</v>
      </c>
      <c r="GP12" s="30">
        <v>20</v>
      </c>
      <c r="GQ12" s="30">
        <v>100</v>
      </c>
      <c r="GR12" s="30">
        <v>0</v>
      </c>
      <c r="GS12" s="30">
        <v>20</v>
      </c>
      <c r="GT12" s="30">
        <v>5</v>
      </c>
      <c r="GU12" s="30">
        <v>25</v>
      </c>
      <c r="GV12" s="30">
        <v>30</v>
      </c>
      <c r="GW12" s="30">
        <v>30</v>
      </c>
      <c r="GX12" s="30">
        <v>13.75</v>
      </c>
      <c r="GY12" s="30">
        <v>20</v>
      </c>
      <c r="GZ12" s="30">
        <v>15</v>
      </c>
      <c r="HA12" s="30">
        <v>20</v>
      </c>
      <c r="HB12" s="30">
        <v>20</v>
      </c>
      <c r="HC12" s="30">
        <v>25</v>
      </c>
      <c r="HD12" s="30">
        <v>50</v>
      </c>
      <c r="HE12" s="30">
        <v>65</v>
      </c>
      <c r="HF12" s="30">
        <v>85</v>
      </c>
      <c r="HG12" s="42">
        <v>70</v>
      </c>
      <c r="HH12" s="42">
        <v>80</v>
      </c>
      <c r="HI12" s="42">
        <v>70</v>
      </c>
      <c r="HJ12" s="42">
        <v>65</v>
      </c>
      <c r="HK12" s="42">
        <v>45</v>
      </c>
      <c r="HL12" s="42">
        <v>10</v>
      </c>
      <c r="HM12" s="62">
        <v>0</v>
      </c>
      <c r="HN12" s="30">
        <v>21.25</v>
      </c>
      <c r="HO12" s="30">
        <v>43</v>
      </c>
      <c r="HP12" s="30">
        <v>18.333333333333332</v>
      </c>
      <c r="HQ12" s="30">
        <v>22.5</v>
      </c>
      <c r="HR12" s="30">
        <v>66.666666666666671</v>
      </c>
      <c r="HS12" s="30">
        <v>28.75</v>
      </c>
      <c r="HT12" s="30">
        <f>HS12-CI12</f>
        <v>-16.25</v>
      </c>
      <c r="HU12" s="30">
        <v>3</v>
      </c>
      <c r="HV12" s="30">
        <v>1</v>
      </c>
      <c r="HW12" s="30">
        <v>30</v>
      </c>
      <c r="HX12" s="30">
        <v>92</v>
      </c>
      <c r="HY12" s="30" t="s">
        <v>779</v>
      </c>
      <c r="HZ12" s="30" t="s">
        <v>780</v>
      </c>
      <c r="IA12" s="30"/>
      <c r="IB12" s="32">
        <v>45182</v>
      </c>
      <c r="IC12" s="84">
        <f t="shared" ref="IC12:IC30" si="7">IB12-I12</f>
        <v>391</v>
      </c>
      <c r="ID12" s="30"/>
      <c r="IE12" s="30">
        <v>10</v>
      </c>
      <c r="IF12" s="30">
        <v>10</v>
      </c>
      <c r="IG12" s="30">
        <v>10</v>
      </c>
      <c r="IH12" s="30">
        <v>30</v>
      </c>
      <c r="II12" s="30">
        <v>50</v>
      </c>
      <c r="IJ12" s="30">
        <v>50</v>
      </c>
      <c r="IK12" s="30">
        <v>15</v>
      </c>
      <c r="IL12" s="30">
        <v>10</v>
      </c>
      <c r="IM12" s="30">
        <v>10</v>
      </c>
      <c r="IN12" s="30">
        <v>10</v>
      </c>
      <c r="IO12" s="30">
        <v>10</v>
      </c>
      <c r="IP12" s="30">
        <v>30</v>
      </c>
      <c r="IQ12" s="30">
        <v>50</v>
      </c>
      <c r="IR12" s="30">
        <v>55</v>
      </c>
      <c r="IS12" s="30">
        <v>70</v>
      </c>
      <c r="IT12" s="30"/>
      <c r="IU12" s="30"/>
      <c r="IV12" s="30"/>
      <c r="IW12" s="30"/>
      <c r="IX12" s="30"/>
      <c r="IY12" s="30"/>
      <c r="IZ12" s="30"/>
      <c r="JA12" s="30">
        <v>15</v>
      </c>
      <c r="JB12" s="30">
        <v>35</v>
      </c>
      <c r="JC12" s="30">
        <v>10</v>
      </c>
      <c r="JD12" s="30">
        <v>20</v>
      </c>
      <c r="JE12" s="30">
        <v>58.333333333333336</v>
      </c>
      <c r="JF12" s="30">
        <v>25</v>
      </c>
      <c r="JG12" s="30">
        <v>3</v>
      </c>
      <c r="JH12" s="30">
        <v>1</v>
      </c>
      <c r="JI12" s="30">
        <v>10</v>
      </c>
      <c r="JJ12" s="30">
        <v>92</v>
      </c>
      <c r="JK12" s="30">
        <v>0</v>
      </c>
      <c r="JL12" s="30">
        <v>20</v>
      </c>
      <c r="JM12" s="30">
        <v>0</v>
      </c>
      <c r="JN12" s="30">
        <v>30</v>
      </c>
      <c r="JO12" s="30">
        <v>35</v>
      </c>
      <c r="JP12" s="30">
        <v>40</v>
      </c>
      <c r="JQ12" s="30">
        <v>12.5</v>
      </c>
      <c r="JR12" s="30">
        <v>20</v>
      </c>
      <c r="JS12" s="30">
        <v>15</v>
      </c>
      <c r="JT12" s="30">
        <v>20</v>
      </c>
      <c r="JU12" s="30">
        <v>15</v>
      </c>
      <c r="JV12" s="30">
        <v>30</v>
      </c>
      <c r="JW12" s="30">
        <v>50</v>
      </c>
      <c r="JX12" s="30">
        <v>65</v>
      </c>
      <c r="JY12" s="30">
        <v>95</v>
      </c>
      <c r="JZ12" s="30" t="s">
        <v>277</v>
      </c>
      <c r="KA12" s="30" t="s">
        <v>277</v>
      </c>
      <c r="KB12" s="30" t="s">
        <v>277</v>
      </c>
      <c r="KC12" s="30" t="s">
        <v>277</v>
      </c>
      <c r="KD12" s="30" t="s">
        <v>277</v>
      </c>
      <c r="KE12" s="30" t="s">
        <v>277</v>
      </c>
      <c r="KF12" s="30" t="s">
        <v>277</v>
      </c>
      <c r="KG12" s="30">
        <v>20</v>
      </c>
      <c r="KH12" s="30">
        <v>45</v>
      </c>
      <c r="KI12" s="30">
        <v>18.333333333333332</v>
      </c>
      <c r="KJ12" s="30">
        <v>22.5</v>
      </c>
      <c r="KK12" s="30">
        <v>70</v>
      </c>
      <c r="KL12" s="30">
        <v>28.75</v>
      </c>
      <c r="KM12" s="30">
        <v>3</v>
      </c>
      <c r="KN12" s="30">
        <v>1</v>
      </c>
      <c r="KO12" s="30">
        <v>15</v>
      </c>
      <c r="KP12" s="30">
        <v>88</v>
      </c>
      <c r="KQ12" s="30" t="s">
        <v>781</v>
      </c>
      <c r="KR12" s="30" t="s">
        <v>782</v>
      </c>
    </row>
    <row r="13" spans="1:305" hidden="1">
      <c r="A13" s="41" t="s">
        <v>876</v>
      </c>
      <c r="B13" s="91">
        <v>60</v>
      </c>
      <c r="C13" s="95" t="str">
        <f>LOOKUP(B13,{0,20,30,40,50,60},{"10","20","30","40","50","60","70","80","90"})</f>
        <v>60</v>
      </c>
      <c r="D13" s="91" t="s">
        <v>888</v>
      </c>
      <c r="E13" t="s">
        <v>980</v>
      </c>
      <c r="F13" s="99">
        <v>44762</v>
      </c>
      <c r="G13" s="100"/>
      <c r="H13" s="95" t="s">
        <v>115</v>
      </c>
      <c r="I13" s="90">
        <v>44796</v>
      </c>
      <c r="J13" s="1" t="s">
        <v>964</v>
      </c>
      <c r="K13" s="91" t="s">
        <v>736</v>
      </c>
      <c r="L13" s="100"/>
      <c r="M13" s="100"/>
      <c r="N13" s="100"/>
      <c r="O13" s="122">
        <v>44760</v>
      </c>
      <c r="P13" s="117">
        <f>O13-I13</f>
        <v>-36</v>
      </c>
      <c r="Q13" s="121">
        <v>0</v>
      </c>
      <c r="R13" s="121">
        <v>0</v>
      </c>
      <c r="S13" s="92">
        <v>44888</v>
      </c>
      <c r="T13" s="123">
        <v>44979</v>
      </c>
      <c r="U13" s="118">
        <f>T13-I13</f>
        <v>183</v>
      </c>
      <c r="V13" s="106">
        <v>0</v>
      </c>
      <c r="W13" s="105">
        <v>0</v>
      </c>
      <c r="X13" s="92">
        <v>45161</v>
      </c>
      <c r="Y13" s="92">
        <v>44760</v>
      </c>
      <c r="Z13" s="30">
        <f t="shared" si="4"/>
        <v>-36</v>
      </c>
      <c r="AA13" s="30"/>
      <c r="AB13" s="30">
        <v>20</v>
      </c>
      <c r="AC13" s="30">
        <v>20</v>
      </c>
      <c r="AD13" s="30">
        <v>15</v>
      </c>
      <c r="AE13" s="30">
        <v>20</v>
      </c>
      <c r="AF13" s="30">
        <v>20</v>
      </c>
      <c r="AG13" s="30">
        <v>30</v>
      </c>
      <c r="AH13" s="33">
        <v>17.5</v>
      </c>
      <c r="AI13" s="30">
        <v>20</v>
      </c>
      <c r="AJ13" s="30">
        <v>20</v>
      </c>
      <c r="AK13" s="30">
        <v>20</v>
      </c>
      <c r="AL13" s="30">
        <v>15</v>
      </c>
      <c r="AM13" s="30">
        <v>20</v>
      </c>
      <c r="AN13" s="30">
        <v>20</v>
      </c>
      <c r="AO13" s="30">
        <v>30</v>
      </c>
      <c r="AP13" s="30">
        <v>30</v>
      </c>
      <c r="AQ13" s="31" t="s">
        <v>234</v>
      </c>
      <c r="AR13" s="31" t="s">
        <v>234</v>
      </c>
      <c r="AS13" s="31" t="s">
        <v>234</v>
      </c>
      <c r="AT13" s="31" t="s">
        <v>234</v>
      </c>
      <c r="AU13" s="31" t="s">
        <v>234</v>
      </c>
      <c r="AV13" s="31" t="s">
        <v>234</v>
      </c>
      <c r="AW13" s="31" t="s">
        <v>234</v>
      </c>
      <c r="AX13" s="33">
        <v>17.5</v>
      </c>
      <c r="AY13" s="33">
        <v>23</v>
      </c>
      <c r="AZ13" s="33">
        <v>20</v>
      </c>
      <c r="BA13" s="33">
        <v>17.5</v>
      </c>
      <c r="BB13" s="33">
        <v>26.666666666666668</v>
      </c>
      <c r="BC13" s="33">
        <v>18.75</v>
      </c>
      <c r="BD13" s="34">
        <v>4</v>
      </c>
      <c r="BE13" s="33">
        <v>0</v>
      </c>
      <c r="BF13" s="30">
        <v>30</v>
      </c>
      <c r="BG13" s="30">
        <v>100</v>
      </c>
      <c r="BH13" s="30">
        <v>10</v>
      </c>
      <c r="BI13" s="30">
        <v>25</v>
      </c>
      <c r="BJ13" s="30">
        <v>10</v>
      </c>
      <c r="BK13" s="30">
        <v>40</v>
      </c>
      <c r="BL13" s="30">
        <v>35</v>
      </c>
      <c r="BM13" s="30">
        <v>25</v>
      </c>
      <c r="BN13" s="33">
        <v>21.25</v>
      </c>
      <c r="BO13" s="30">
        <v>35</v>
      </c>
      <c r="BP13" s="30">
        <v>40</v>
      </c>
      <c r="BQ13" s="30">
        <v>45</v>
      </c>
      <c r="BR13" s="30">
        <v>45</v>
      </c>
      <c r="BS13" s="30">
        <v>45</v>
      </c>
      <c r="BT13" s="30">
        <v>75</v>
      </c>
      <c r="BU13" s="30">
        <v>80</v>
      </c>
      <c r="BV13" s="30">
        <v>65</v>
      </c>
      <c r="BW13" s="31" t="s">
        <v>234</v>
      </c>
      <c r="BX13" s="31" t="s">
        <v>234</v>
      </c>
      <c r="BY13" s="31" t="s">
        <v>234</v>
      </c>
      <c r="BZ13" s="31" t="s">
        <v>234</v>
      </c>
      <c r="CA13" s="31" t="s">
        <v>234</v>
      </c>
      <c r="CB13" s="31" t="s">
        <v>234</v>
      </c>
      <c r="CC13" s="31" t="s">
        <v>234</v>
      </c>
      <c r="CD13" s="33">
        <v>45</v>
      </c>
      <c r="CE13" s="33">
        <v>56</v>
      </c>
      <c r="CF13" s="33">
        <v>40</v>
      </c>
      <c r="CG13" s="33">
        <v>45</v>
      </c>
      <c r="CH13" s="33">
        <v>73.333333333333329</v>
      </c>
      <c r="CI13" s="33">
        <v>52.5</v>
      </c>
      <c r="CJ13" s="30">
        <v>3</v>
      </c>
      <c r="CK13" s="33">
        <v>2</v>
      </c>
      <c r="CL13" s="30">
        <v>55</v>
      </c>
      <c r="CM13" s="30">
        <v>96</v>
      </c>
      <c r="CN13" s="30" t="s">
        <v>783</v>
      </c>
      <c r="CO13" s="31" t="s">
        <v>784</v>
      </c>
      <c r="CP13" s="30"/>
      <c r="CQ13" s="32">
        <v>44888</v>
      </c>
      <c r="CR13" s="30">
        <f t="shared" si="5"/>
        <v>92</v>
      </c>
      <c r="CS13" s="30"/>
      <c r="CT13" s="30">
        <v>15</v>
      </c>
      <c r="CU13" s="30">
        <v>10</v>
      </c>
      <c r="CV13" s="30">
        <v>10</v>
      </c>
      <c r="CW13" s="30">
        <v>20</v>
      </c>
      <c r="CX13" s="30">
        <v>15</v>
      </c>
      <c r="CY13" s="30">
        <v>20</v>
      </c>
      <c r="CZ13" s="33">
        <v>12.5</v>
      </c>
      <c r="DA13" s="30">
        <v>15</v>
      </c>
      <c r="DB13" s="30">
        <v>15</v>
      </c>
      <c r="DC13" s="30">
        <v>10</v>
      </c>
      <c r="DD13" s="30">
        <v>10</v>
      </c>
      <c r="DE13" s="30">
        <v>20</v>
      </c>
      <c r="DF13" s="30">
        <v>15</v>
      </c>
      <c r="DG13" s="30">
        <v>20</v>
      </c>
      <c r="DH13" s="30">
        <v>20</v>
      </c>
      <c r="DI13" s="30" t="s">
        <v>277</v>
      </c>
      <c r="DJ13" s="30" t="s">
        <v>277</v>
      </c>
      <c r="DK13" s="30" t="s">
        <v>277</v>
      </c>
      <c r="DL13" s="30" t="s">
        <v>277</v>
      </c>
      <c r="DM13" s="30" t="s">
        <v>277</v>
      </c>
      <c r="DN13" s="30" t="s">
        <v>277</v>
      </c>
      <c r="DO13" s="30" t="s">
        <v>277</v>
      </c>
      <c r="DP13" s="33">
        <v>12.5</v>
      </c>
      <c r="DQ13" s="33">
        <v>16</v>
      </c>
      <c r="DR13" s="33">
        <v>13.333333333333334</v>
      </c>
      <c r="DS13" s="33">
        <v>15</v>
      </c>
      <c r="DT13" s="33">
        <v>18.333333333333332</v>
      </c>
      <c r="DU13" s="33">
        <v>13.75</v>
      </c>
      <c r="DV13" s="30">
        <v>4</v>
      </c>
      <c r="DW13" s="33">
        <v>0</v>
      </c>
      <c r="DX13" s="30">
        <v>20</v>
      </c>
      <c r="DY13" s="30">
        <v>100</v>
      </c>
      <c r="DZ13" s="30">
        <v>10</v>
      </c>
      <c r="EA13" s="30">
        <v>20</v>
      </c>
      <c r="EB13" s="30">
        <v>25</v>
      </c>
      <c r="EC13" s="30">
        <v>25</v>
      </c>
      <c r="ED13" s="30">
        <v>30</v>
      </c>
      <c r="EE13" s="30">
        <v>20</v>
      </c>
      <c r="EF13" s="33">
        <v>23.75</v>
      </c>
      <c r="EG13" s="30">
        <v>30</v>
      </c>
      <c r="EH13" s="30">
        <v>30</v>
      </c>
      <c r="EI13" s="30">
        <v>40</v>
      </c>
      <c r="EJ13" s="30">
        <v>45</v>
      </c>
      <c r="EK13" s="30">
        <v>40</v>
      </c>
      <c r="EL13" s="30">
        <v>65</v>
      </c>
      <c r="EM13" s="30">
        <v>60</v>
      </c>
      <c r="EN13" s="30">
        <v>65</v>
      </c>
      <c r="EO13" s="30" t="s">
        <v>277</v>
      </c>
      <c r="EP13" s="30" t="s">
        <v>277</v>
      </c>
      <c r="EQ13" s="30" t="s">
        <v>277</v>
      </c>
      <c r="ER13" s="30" t="s">
        <v>277</v>
      </c>
      <c r="ES13" s="30" t="s">
        <v>277</v>
      </c>
      <c r="ET13" s="30" t="s">
        <v>277</v>
      </c>
      <c r="EU13" s="30" t="s">
        <v>277</v>
      </c>
      <c r="EV13" s="33">
        <v>42.5</v>
      </c>
      <c r="EW13" s="33">
        <v>50</v>
      </c>
      <c r="EX13" s="33">
        <v>33.333333333333336</v>
      </c>
      <c r="EY13" s="33">
        <v>42.5</v>
      </c>
      <c r="EZ13" s="33">
        <v>63.333333333333336</v>
      </c>
      <c r="FA13" s="33">
        <v>47.5</v>
      </c>
      <c r="FB13" s="30">
        <v>3</v>
      </c>
      <c r="FC13" s="33">
        <v>2</v>
      </c>
      <c r="FD13" s="30">
        <v>55</v>
      </c>
      <c r="FE13" s="30">
        <v>100</v>
      </c>
      <c r="FF13" s="30" t="s">
        <v>785</v>
      </c>
      <c r="FG13" s="30" t="s">
        <v>786</v>
      </c>
      <c r="FH13" s="30"/>
      <c r="FI13" s="32">
        <v>44979</v>
      </c>
      <c r="FJ13" s="30">
        <f t="shared" si="6"/>
        <v>183</v>
      </c>
      <c r="FK13" s="30"/>
      <c r="FL13" s="30">
        <v>15</v>
      </c>
      <c r="FM13" s="30">
        <v>10</v>
      </c>
      <c r="FN13" s="30">
        <v>10</v>
      </c>
      <c r="FO13" s="30">
        <v>15</v>
      </c>
      <c r="FP13" s="30">
        <v>10</v>
      </c>
      <c r="FQ13" s="30">
        <v>20</v>
      </c>
      <c r="FR13" s="33">
        <v>11.25</v>
      </c>
      <c r="FS13" s="30">
        <v>20</v>
      </c>
      <c r="FT13" s="30">
        <v>15</v>
      </c>
      <c r="FU13" s="30">
        <v>10</v>
      </c>
      <c r="FV13" s="30">
        <v>10</v>
      </c>
      <c r="FW13" s="30">
        <v>15</v>
      </c>
      <c r="FX13" s="30">
        <v>10</v>
      </c>
      <c r="FY13" s="30">
        <v>20</v>
      </c>
      <c r="FZ13" s="30">
        <v>25</v>
      </c>
      <c r="GA13" s="30"/>
      <c r="GB13" s="30"/>
      <c r="GC13" s="30"/>
      <c r="GD13" s="30"/>
      <c r="GE13" s="30"/>
      <c r="GF13" s="30"/>
      <c r="GG13" s="30"/>
      <c r="GH13" s="33">
        <v>11.25</v>
      </c>
      <c r="GI13" s="33">
        <v>16</v>
      </c>
      <c r="GJ13" s="33">
        <v>15</v>
      </c>
      <c r="GK13" s="33">
        <v>12.5</v>
      </c>
      <c r="GL13" s="33">
        <v>18.333333333333332</v>
      </c>
      <c r="GM13" s="33">
        <v>11.25</v>
      </c>
      <c r="GN13" s="30">
        <v>4</v>
      </c>
      <c r="GO13" s="33">
        <v>0</v>
      </c>
      <c r="GP13" s="30">
        <v>15</v>
      </c>
      <c r="GQ13" s="30">
        <v>100</v>
      </c>
      <c r="GR13" s="30">
        <v>10</v>
      </c>
      <c r="GS13" s="30">
        <v>30</v>
      </c>
      <c r="GT13" s="30">
        <v>20</v>
      </c>
      <c r="GU13" s="30">
        <v>20</v>
      </c>
      <c r="GV13" s="30">
        <v>30</v>
      </c>
      <c r="GW13" s="30">
        <v>25</v>
      </c>
      <c r="GX13" s="30">
        <v>22.5</v>
      </c>
      <c r="GY13" s="30">
        <v>40</v>
      </c>
      <c r="GZ13" s="30">
        <v>40</v>
      </c>
      <c r="HA13" s="30">
        <v>40</v>
      </c>
      <c r="HB13" s="30">
        <v>35</v>
      </c>
      <c r="HC13" s="30">
        <v>35</v>
      </c>
      <c r="HD13" s="30">
        <v>60</v>
      </c>
      <c r="HE13" s="30">
        <v>65</v>
      </c>
      <c r="HF13" s="30">
        <v>75</v>
      </c>
      <c r="HG13" s="30" t="s">
        <v>277</v>
      </c>
      <c r="HH13" s="30" t="s">
        <v>277</v>
      </c>
      <c r="HI13" s="30" t="s">
        <v>277</v>
      </c>
      <c r="HJ13" s="30" t="s">
        <v>277</v>
      </c>
      <c r="HK13" s="30" t="s">
        <v>277</v>
      </c>
      <c r="HL13" s="30" t="s">
        <v>277</v>
      </c>
      <c r="HM13" s="30" t="s">
        <v>277</v>
      </c>
      <c r="HN13" s="30">
        <v>36.25</v>
      </c>
      <c r="HO13" s="30">
        <v>50</v>
      </c>
      <c r="HP13" s="30">
        <v>40</v>
      </c>
      <c r="HQ13" s="30">
        <v>35</v>
      </c>
      <c r="HR13" s="30">
        <v>66.666666666666671</v>
      </c>
      <c r="HS13" s="30">
        <v>42.5</v>
      </c>
      <c r="HT13" s="30">
        <f>HS13-CI13</f>
        <v>-10</v>
      </c>
      <c r="HU13" s="30">
        <v>3</v>
      </c>
      <c r="HV13" s="30">
        <v>2</v>
      </c>
      <c r="HW13" s="30">
        <v>45</v>
      </c>
      <c r="HX13" s="30">
        <v>100</v>
      </c>
      <c r="HY13" s="30" t="s">
        <v>787</v>
      </c>
      <c r="HZ13" s="30" t="s">
        <v>788</v>
      </c>
      <c r="IA13" s="30"/>
      <c r="IB13" s="32">
        <v>45161</v>
      </c>
      <c r="IC13" s="84">
        <f t="shared" si="7"/>
        <v>365</v>
      </c>
      <c r="ID13" s="30"/>
      <c r="IE13" s="30">
        <v>20</v>
      </c>
      <c r="IF13" s="30">
        <v>15</v>
      </c>
      <c r="IG13" s="30">
        <v>15</v>
      </c>
      <c r="IH13" s="30">
        <v>20</v>
      </c>
      <c r="II13" s="30">
        <v>10</v>
      </c>
      <c r="IJ13" s="30">
        <v>25</v>
      </c>
      <c r="IK13" s="30">
        <v>16.25</v>
      </c>
      <c r="IL13" s="30">
        <v>20</v>
      </c>
      <c r="IM13" s="30">
        <v>20</v>
      </c>
      <c r="IN13" s="30">
        <v>15</v>
      </c>
      <c r="IO13" s="30">
        <v>15</v>
      </c>
      <c r="IP13" s="30">
        <v>20</v>
      </c>
      <c r="IQ13" s="30">
        <v>10</v>
      </c>
      <c r="IR13" s="30">
        <v>25</v>
      </c>
      <c r="IS13" s="30">
        <v>20</v>
      </c>
      <c r="IT13" s="30" t="s">
        <v>277</v>
      </c>
      <c r="IU13" s="30" t="s">
        <v>277</v>
      </c>
      <c r="IV13" s="30" t="s">
        <v>277</v>
      </c>
      <c r="IW13" s="30" t="s">
        <v>277</v>
      </c>
      <c r="IX13" s="30" t="s">
        <v>277</v>
      </c>
      <c r="IY13" s="30" t="s">
        <v>277</v>
      </c>
      <c r="IZ13" s="30" t="s">
        <v>277</v>
      </c>
      <c r="JA13" s="30">
        <v>16.25</v>
      </c>
      <c r="JB13" s="30">
        <v>19</v>
      </c>
      <c r="JC13" s="30">
        <v>18.333333333333332</v>
      </c>
      <c r="JD13" s="30">
        <v>17.5</v>
      </c>
      <c r="JE13" s="30">
        <v>18.333333333333332</v>
      </c>
      <c r="JF13" s="30">
        <v>15</v>
      </c>
      <c r="JG13" s="30">
        <v>4</v>
      </c>
      <c r="JH13" s="30">
        <v>0</v>
      </c>
      <c r="JI13" s="30">
        <v>15</v>
      </c>
      <c r="JJ13" s="30">
        <v>100</v>
      </c>
      <c r="JK13" s="30">
        <v>10</v>
      </c>
      <c r="JL13" s="30">
        <v>30</v>
      </c>
      <c r="JM13" s="30">
        <v>30</v>
      </c>
      <c r="JN13" s="30">
        <v>30</v>
      </c>
      <c r="JO13" s="30">
        <v>35</v>
      </c>
      <c r="JP13" s="30">
        <v>30</v>
      </c>
      <c r="JQ13" s="30">
        <v>30</v>
      </c>
      <c r="JR13" s="30">
        <v>40</v>
      </c>
      <c r="JS13" s="30">
        <v>45</v>
      </c>
      <c r="JT13" s="30">
        <v>40</v>
      </c>
      <c r="JU13" s="30">
        <v>45</v>
      </c>
      <c r="JV13" s="30">
        <v>35</v>
      </c>
      <c r="JW13" s="30">
        <v>60</v>
      </c>
      <c r="JX13" s="30">
        <v>65</v>
      </c>
      <c r="JY13" s="30">
        <v>65</v>
      </c>
      <c r="JZ13" s="30" t="s">
        <v>277</v>
      </c>
      <c r="KA13" s="30" t="s">
        <v>277</v>
      </c>
      <c r="KB13" s="30" t="s">
        <v>277</v>
      </c>
      <c r="KC13" s="30" t="s">
        <v>277</v>
      </c>
      <c r="KD13" s="30" t="s">
        <v>277</v>
      </c>
      <c r="KE13" s="30" t="s">
        <v>277</v>
      </c>
      <c r="KF13" s="30" t="s">
        <v>277</v>
      </c>
      <c r="KG13" s="30">
        <v>41.25</v>
      </c>
      <c r="KH13" s="30">
        <v>50</v>
      </c>
      <c r="KI13" s="30">
        <v>41.666666666666664</v>
      </c>
      <c r="KJ13" s="30">
        <v>40</v>
      </c>
      <c r="KK13" s="30">
        <v>63.333333333333336</v>
      </c>
      <c r="KL13" s="30">
        <v>45</v>
      </c>
      <c r="KM13" s="30">
        <v>3</v>
      </c>
      <c r="KN13" s="30">
        <v>2</v>
      </c>
      <c r="KO13" s="30">
        <v>40</v>
      </c>
      <c r="KP13" s="30">
        <v>100</v>
      </c>
      <c r="KQ13" s="30" t="s">
        <v>789</v>
      </c>
      <c r="KR13" s="30" t="s">
        <v>790</v>
      </c>
    </row>
    <row r="14" spans="1:305" hidden="1">
      <c r="A14" s="1" t="s">
        <v>877</v>
      </c>
      <c r="B14" s="91">
        <v>51</v>
      </c>
      <c r="C14" s="95" t="str">
        <f>LOOKUP(B14,{0,20,30,40,50,60},{"10","20","30","40","50","60","70","80","90"})</f>
        <v>50</v>
      </c>
      <c r="D14" s="91" t="s">
        <v>888</v>
      </c>
      <c r="E14" t="s">
        <v>981</v>
      </c>
      <c r="F14" s="99">
        <v>44639</v>
      </c>
      <c r="G14" s="100"/>
      <c r="H14" s="95" t="s">
        <v>115</v>
      </c>
      <c r="I14" s="90">
        <v>44798</v>
      </c>
      <c r="J14" s="1"/>
      <c r="K14" s="91" t="s">
        <v>727</v>
      </c>
      <c r="L14" s="100"/>
      <c r="M14" s="100"/>
      <c r="N14" s="100"/>
      <c r="O14" s="99">
        <v>44797</v>
      </c>
      <c r="P14" s="99"/>
      <c r="Q14" s="99"/>
      <c r="R14" s="99"/>
      <c r="S14" s="92">
        <v>44902</v>
      </c>
      <c r="T14" s="92">
        <v>45042</v>
      </c>
      <c r="U14" s="92"/>
      <c r="V14" s="92"/>
      <c r="W14" s="92"/>
      <c r="X14" s="92">
        <v>45194</v>
      </c>
      <c r="Y14" s="92">
        <v>44798</v>
      </c>
      <c r="Z14" s="30">
        <f t="shared" si="4"/>
        <v>0</v>
      </c>
      <c r="AA14" s="30"/>
      <c r="AB14" s="30">
        <v>10</v>
      </c>
      <c r="AC14" s="30">
        <v>30</v>
      </c>
      <c r="AD14" s="30">
        <v>20</v>
      </c>
      <c r="AE14" s="30">
        <v>30</v>
      </c>
      <c r="AF14" s="30">
        <v>35</v>
      </c>
      <c r="AG14" s="30">
        <v>35</v>
      </c>
      <c r="AH14" s="33">
        <v>25</v>
      </c>
      <c r="AI14" s="30">
        <v>60</v>
      </c>
      <c r="AJ14" s="30">
        <v>55</v>
      </c>
      <c r="AK14" s="30">
        <v>35</v>
      </c>
      <c r="AL14" s="30">
        <v>25</v>
      </c>
      <c r="AM14" s="30">
        <v>35</v>
      </c>
      <c r="AN14" s="30">
        <v>40</v>
      </c>
      <c r="AO14" s="30">
        <v>45</v>
      </c>
      <c r="AP14" s="30">
        <v>50</v>
      </c>
      <c r="AQ14" s="31" t="s">
        <v>234</v>
      </c>
      <c r="AR14" s="31" t="s">
        <v>234</v>
      </c>
      <c r="AS14" s="31" t="s">
        <v>234</v>
      </c>
      <c r="AT14" s="31" t="s">
        <v>234</v>
      </c>
      <c r="AU14" s="31" t="s">
        <v>234</v>
      </c>
      <c r="AV14" s="31" t="s">
        <v>234</v>
      </c>
      <c r="AW14" s="31" t="s">
        <v>234</v>
      </c>
      <c r="AX14" s="33">
        <v>30</v>
      </c>
      <c r="AY14" s="33">
        <v>38</v>
      </c>
      <c r="AZ14" s="33">
        <v>50</v>
      </c>
      <c r="BA14" s="33">
        <v>30</v>
      </c>
      <c r="BB14" s="33">
        <v>45</v>
      </c>
      <c r="BC14" s="33">
        <v>33.75</v>
      </c>
      <c r="BD14" s="34" t="s">
        <v>235</v>
      </c>
      <c r="BE14" s="33">
        <v>1</v>
      </c>
      <c r="BF14" s="30">
        <v>35</v>
      </c>
      <c r="BG14" s="30">
        <v>100</v>
      </c>
      <c r="BH14" s="30">
        <v>15</v>
      </c>
      <c r="BI14" s="30">
        <v>10</v>
      </c>
      <c r="BJ14" s="30">
        <v>15</v>
      </c>
      <c r="BK14" s="30">
        <v>25</v>
      </c>
      <c r="BL14" s="30">
        <v>30</v>
      </c>
      <c r="BM14" s="30">
        <v>30</v>
      </c>
      <c r="BN14" s="33">
        <v>16.25</v>
      </c>
      <c r="BO14" s="30">
        <v>30</v>
      </c>
      <c r="BP14" s="30">
        <v>20</v>
      </c>
      <c r="BQ14" s="30">
        <v>10</v>
      </c>
      <c r="BR14" s="30">
        <v>15</v>
      </c>
      <c r="BS14" s="30">
        <v>25</v>
      </c>
      <c r="BT14" s="30">
        <v>40</v>
      </c>
      <c r="BU14" s="30">
        <v>35</v>
      </c>
      <c r="BV14" s="30">
        <v>40</v>
      </c>
      <c r="BW14" s="31" t="s">
        <v>234</v>
      </c>
      <c r="BX14" s="31" t="s">
        <v>234</v>
      </c>
      <c r="BY14" s="31" t="s">
        <v>234</v>
      </c>
      <c r="BZ14" s="31" t="s">
        <v>234</v>
      </c>
      <c r="CA14" s="31" t="s">
        <v>234</v>
      </c>
      <c r="CB14" s="31" t="s">
        <v>234</v>
      </c>
      <c r="CC14" s="31" t="s">
        <v>234</v>
      </c>
      <c r="CD14" s="33">
        <v>16.25</v>
      </c>
      <c r="CE14" s="33">
        <v>25</v>
      </c>
      <c r="CF14" s="33">
        <v>20</v>
      </c>
      <c r="CG14" s="33">
        <v>20</v>
      </c>
      <c r="CH14" s="33">
        <v>38.333333333333336</v>
      </c>
      <c r="CI14" s="33">
        <v>22.5</v>
      </c>
      <c r="CJ14" s="31" t="s">
        <v>235</v>
      </c>
      <c r="CK14" s="33">
        <v>1</v>
      </c>
      <c r="CL14" s="30">
        <v>20</v>
      </c>
      <c r="CM14" s="30">
        <v>100</v>
      </c>
      <c r="CN14" s="30" t="s">
        <v>791</v>
      </c>
      <c r="CO14" s="31" t="s">
        <v>792</v>
      </c>
      <c r="CP14" s="30"/>
      <c r="CQ14" s="32">
        <v>44902</v>
      </c>
      <c r="CR14" s="30">
        <f t="shared" si="5"/>
        <v>104</v>
      </c>
      <c r="CS14" s="30"/>
      <c r="CT14" s="30">
        <v>0</v>
      </c>
      <c r="CU14" s="30">
        <v>10</v>
      </c>
      <c r="CV14" s="30">
        <v>15</v>
      </c>
      <c r="CW14" s="30">
        <v>30</v>
      </c>
      <c r="CX14" s="30">
        <v>35</v>
      </c>
      <c r="CY14" s="30">
        <v>25</v>
      </c>
      <c r="CZ14" s="33">
        <v>17.5</v>
      </c>
      <c r="DA14" s="30">
        <v>25</v>
      </c>
      <c r="DB14" s="30">
        <v>25</v>
      </c>
      <c r="DC14" s="30">
        <v>15</v>
      </c>
      <c r="DD14" s="30">
        <v>25</v>
      </c>
      <c r="DE14" s="30">
        <v>30</v>
      </c>
      <c r="DF14" s="30">
        <v>40</v>
      </c>
      <c r="DG14" s="30">
        <v>55</v>
      </c>
      <c r="DH14" s="30">
        <v>55</v>
      </c>
      <c r="DI14" s="30">
        <v>55</v>
      </c>
      <c r="DJ14" s="30">
        <v>55</v>
      </c>
      <c r="DK14" s="30">
        <v>55</v>
      </c>
      <c r="DL14" s="42">
        <v>65</v>
      </c>
      <c r="DM14" s="42">
        <v>50</v>
      </c>
      <c r="DN14" s="42">
        <v>20</v>
      </c>
      <c r="DO14" s="62">
        <v>0</v>
      </c>
      <c r="DP14" s="33">
        <v>23.75</v>
      </c>
      <c r="DQ14" s="33">
        <v>36</v>
      </c>
      <c r="DR14" s="33">
        <v>21.666666666666668</v>
      </c>
      <c r="DS14" s="33">
        <v>27.5</v>
      </c>
      <c r="DT14" s="33">
        <v>50</v>
      </c>
      <c r="DU14" s="33">
        <v>27.5</v>
      </c>
      <c r="DV14" s="30">
        <v>3</v>
      </c>
      <c r="DW14" s="33">
        <v>1</v>
      </c>
      <c r="DX14" s="30">
        <v>25</v>
      </c>
      <c r="DY14" s="30">
        <v>100</v>
      </c>
      <c r="DZ14" s="30">
        <v>5</v>
      </c>
      <c r="EA14" s="30">
        <v>10</v>
      </c>
      <c r="EB14" s="30">
        <v>20</v>
      </c>
      <c r="EC14" s="30">
        <v>25</v>
      </c>
      <c r="ED14" s="30">
        <v>35</v>
      </c>
      <c r="EE14" s="30">
        <v>25</v>
      </c>
      <c r="EF14" s="33">
        <v>18.75</v>
      </c>
      <c r="EG14" s="30">
        <v>30</v>
      </c>
      <c r="EH14" s="30">
        <v>15</v>
      </c>
      <c r="EI14" s="30">
        <v>10</v>
      </c>
      <c r="EJ14" s="30">
        <v>20</v>
      </c>
      <c r="EK14" s="30">
        <v>25</v>
      </c>
      <c r="EL14" s="30">
        <v>40</v>
      </c>
      <c r="EM14" s="30">
        <v>35</v>
      </c>
      <c r="EN14" s="30">
        <v>55</v>
      </c>
      <c r="EO14" s="30">
        <v>40</v>
      </c>
      <c r="EP14" s="30">
        <v>40</v>
      </c>
      <c r="EQ14" s="30">
        <v>60</v>
      </c>
      <c r="ER14" s="42">
        <v>65</v>
      </c>
      <c r="ES14" s="42">
        <v>45</v>
      </c>
      <c r="ET14" s="42">
        <v>15</v>
      </c>
      <c r="EU14" s="62">
        <v>0</v>
      </c>
      <c r="EV14" s="33">
        <v>18.75</v>
      </c>
      <c r="EW14" s="33">
        <v>29</v>
      </c>
      <c r="EX14" s="33">
        <v>18.333333333333332</v>
      </c>
      <c r="EY14" s="33">
        <v>22.5</v>
      </c>
      <c r="EZ14" s="33">
        <v>43.333333333333336</v>
      </c>
      <c r="FA14" s="33">
        <v>23.75</v>
      </c>
      <c r="FB14" s="30">
        <v>3</v>
      </c>
      <c r="FC14" s="33">
        <v>1</v>
      </c>
      <c r="FD14" s="30">
        <v>25</v>
      </c>
      <c r="FE14" s="30">
        <v>100</v>
      </c>
      <c r="FF14" s="30" t="s">
        <v>793</v>
      </c>
      <c r="FG14" s="30" t="s">
        <v>794</v>
      </c>
      <c r="FH14" s="30"/>
      <c r="FI14" s="32">
        <v>45042</v>
      </c>
      <c r="FJ14" s="30">
        <f t="shared" si="6"/>
        <v>244</v>
      </c>
      <c r="FK14" s="30"/>
      <c r="FL14" s="30">
        <v>0</v>
      </c>
      <c r="FM14" s="30">
        <v>10</v>
      </c>
      <c r="FN14" s="30">
        <v>5</v>
      </c>
      <c r="FO14" s="30">
        <v>30</v>
      </c>
      <c r="FP14" s="30">
        <v>40</v>
      </c>
      <c r="FQ14" s="30">
        <v>40</v>
      </c>
      <c r="FR14" s="33">
        <v>12.5</v>
      </c>
      <c r="FS14" s="30">
        <v>30</v>
      </c>
      <c r="FT14" s="30">
        <v>25</v>
      </c>
      <c r="FU14" s="30">
        <v>20</v>
      </c>
      <c r="FV14" s="30">
        <v>15</v>
      </c>
      <c r="FW14" s="30">
        <v>30</v>
      </c>
      <c r="FX14" s="30">
        <v>40</v>
      </c>
      <c r="FY14" s="30">
        <v>55</v>
      </c>
      <c r="FZ14" s="30">
        <v>55</v>
      </c>
      <c r="GA14" s="30"/>
      <c r="GB14" s="30"/>
      <c r="GC14" s="30"/>
      <c r="GD14" s="30"/>
      <c r="GE14" s="30"/>
      <c r="GF14" s="30"/>
      <c r="GG14" s="30"/>
      <c r="GH14" s="33">
        <v>20</v>
      </c>
      <c r="GI14" s="33">
        <v>35</v>
      </c>
      <c r="GJ14" s="33">
        <v>25</v>
      </c>
      <c r="GK14" s="33">
        <v>22.5</v>
      </c>
      <c r="GL14" s="33">
        <v>50</v>
      </c>
      <c r="GM14" s="33">
        <v>26.25</v>
      </c>
      <c r="GN14" s="30">
        <v>3</v>
      </c>
      <c r="GO14" s="33">
        <v>1</v>
      </c>
      <c r="GP14" s="30">
        <v>35</v>
      </c>
      <c r="GQ14" s="30">
        <v>100</v>
      </c>
      <c r="GR14" s="30">
        <v>5</v>
      </c>
      <c r="GS14" s="30">
        <v>10</v>
      </c>
      <c r="GT14" s="30">
        <v>20</v>
      </c>
      <c r="GU14" s="30">
        <v>25</v>
      </c>
      <c r="GV14" s="30">
        <v>35</v>
      </c>
      <c r="GW14" s="30">
        <v>30</v>
      </c>
      <c r="GX14" s="30">
        <v>18.75</v>
      </c>
      <c r="GY14" s="30">
        <v>25</v>
      </c>
      <c r="GZ14" s="30">
        <v>15</v>
      </c>
      <c r="HA14" s="30">
        <v>10</v>
      </c>
      <c r="HB14" s="30">
        <v>20</v>
      </c>
      <c r="HC14" s="30">
        <v>25</v>
      </c>
      <c r="HD14" s="30">
        <v>40</v>
      </c>
      <c r="HE14" s="30">
        <v>40</v>
      </c>
      <c r="HF14" s="30">
        <v>35</v>
      </c>
      <c r="HG14" s="30" t="s">
        <v>277</v>
      </c>
      <c r="HH14" s="30" t="s">
        <v>277</v>
      </c>
      <c r="HI14" s="30" t="s">
        <v>277</v>
      </c>
      <c r="HJ14" s="30" t="s">
        <v>277</v>
      </c>
      <c r="HK14" s="30" t="s">
        <v>277</v>
      </c>
      <c r="HL14" s="30" t="s">
        <v>277</v>
      </c>
      <c r="HM14" s="30" t="s">
        <v>277</v>
      </c>
      <c r="HN14" s="30">
        <v>18.75</v>
      </c>
      <c r="HO14" s="30">
        <v>26</v>
      </c>
      <c r="HP14" s="30">
        <v>16.666666666666668</v>
      </c>
      <c r="HQ14" s="30">
        <v>22.5</v>
      </c>
      <c r="HR14" s="30">
        <v>38.333333333333336</v>
      </c>
      <c r="HS14" s="30">
        <v>23.75</v>
      </c>
      <c r="HT14" s="30"/>
      <c r="HU14" s="30">
        <v>3</v>
      </c>
      <c r="HV14" s="30">
        <v>1</v>
      </c>
      <c r="HW14" s="30">
        <v>25</v>
      </c>
      <c r="HX14" s="30">
        <v>100</v>
      </c>
      <c r="HY14" s="30" t="s">
        <v>795</v>
      </c>
      <c r="HZ14" s="30" t="s">
        <v>796</v>
      </c>
      <c r="IA14" s="30"/>
      <c r="IB14" s="32">
        <v>45194</v>
      </c>
      <c r="IC14" s="84">
        <f t="shared" si="7"/>
        <v>396</v>
      </c>
      <c r="ID14" s="30"/>
      <c r="IE14" s="30">
        <v>5</v>
      </c>
      <c r="IF14" s="30">
        <v>10</v>
      </c>
      <c r="IG14" s="30">
        <v>5</v>
      </c>
      <c r="IH14" s="30">
        <v>35</v>
      </c>
      <c r="II14" s="30">
        <v>40</v>
      </c>
      <c r="IJ14" s="30">
        <v>40</v>
      </c>
      <c r="IK14" s="30">
        <v>13.75</v>
      </c>
      <c r="IL14" s="30">
        <v>50</v>
      </c>
      <c r="IM14" s="30">
        <v>40</v>
      </c>
      <c r="IN14" s="30">
        <v>25</v>
      </c>
      <c r="IO14" s="30">
        <v>20</v>
      </c>
      <c r="IP14" s="30">
        <v>35</v>
      </c>
      <c r="IQ14" s="30">
        <v>40</v>
      </c>
      <c r="IR14" s="30">
        <v>50</v>
      </c>
      <c r="IS14" s="30">
        <v>55</v>
      </c>
      <c r="IT14" s="30">
        <v>55</v>
      </c>
      <c r="IU14" s="30">
        <v>55</v>
      </c>
      <c r="IV14" s="30">
        <v>55</v>
      </c>
      <c r="IW14" s="42">
        <v>65</v>
      </c>
      <c r="IX14" s="42">
        <v>50</v>
      </c>
      <c r="IY14" s="42">
        <v>20</v>
      </c>
      <c r="IZ14" s="42">
        <v>0</v>
      </c>
      <c r="JA14" s="30">
        <v>25</v>
      </c>
      <c r="JB14" s="30">
        <v>37</v>
      </c>
      <c r="JC14" s="30">
        <v>38.333333333333336</v>
      </c>
      <c r="JD14" s="30">
        <v>27.5</v>
      </c>
      <c r="JE14" s="30">
        <v>48.333333333333336</v>
      </c>
      <c r="JF14" s="30">
        <v>30</v>
      </c>
      <c r="JG14" s="30">
        <v>6</v>
      </c>
      <c r="JH14" s="30">
        <v>1</v>
      </c>
      <c r="JI14" s="30">
        <v>30</v>
      </c>
      <c r="JJ14" s="30">
        <v>100</v>
      </c>
      <c r="JK14" s="30">
        <v>5</v>
      </c>
      <c r="JL14" s="30">
        <v>15</v>
      </c>
      <c r="JM14" s="30">
        <v>20</v>
      </c>
      <c r="JN14" s="30">
        <v>25</v>
      </c>
      <c r="JO14" s="30">
        <v>35</v>
      </c>
      <c r="JP14" s="30">
        <v>35</v>
      </c>
      <c r="JQ14" s="30">
        <v>20</v>
      </c>
      <c r="JR14" s="30">
        <v>40</v>
      </c>
      <c r="JS14" s="30">
        <v>30</v>
      </c>
      <c r="JT14" s="30">
        <v>15</v>
      </c>
      <c r="JU14" s="30">
        <v>20</v>
      </c>
      <c r="JV14" s="30">
        <v>25</v>
      </c>
      <c r="JW14" s="30">
        <v>35</v>
      </c>
      <c r="JX14" s="30">
        <v>35</v>
      </c>
      <c r="JY14" s="30">
        <v>35</v>
      </c>
      <c r="JZ14" s="30">
        <v>40</v>
      </c>
      <c r="KA14" s="30">
        <v>40</v>
      </c>
      <c r="KB14" s="30">
        <v>55</v>
      </c>
      <c r="KC14" s="42">
        <v>65</v>
      </c>
      <c r="KD14" s="42">
        <v>45</v>
      </c>
      <c r="KE14" s="42">
        <v>10</v>
      </c>
      <c r="KF14" s="42">
        <v>0</v>
      </c>
      <c r="KG14" s="30">
        <v>20</v>
      </c>
      <c r="KH14" s="30">
        <v>26</v>
      </c>
      <c r="KI14" s="30">
        <v>28.333333333333332</v>
      </c>
      <c r="KJ14" s="30">
        <v>22.5</v>
      </c>
      <c r="KK14" s="30">
        <v>35</v>
      </c>
      <c r="KL14" s="30">
        <v>23.75</v>
      </c>
      <c r="KM14" s="30">
        <v>6</v>
      </c>
      <c r="KN14" s="30">
        <v>1</v>
      </c>
      <c r="KO14" s="30">
        <v>20</v>
      </c>
      <c r="KP14" s="30">
        <v>100</v>
      </c>
      <c r="KQ14" s="30" t="s">
        <v>797</v>
      </c>
      <c r="KR14" s="30" t="s">
        <v>798</v>
      </c>
    </row>
    <row r="15" spans="1:305" hidden="1">
      <c r="A15" s="1" t="s">
        <v>878</v>
      </c>
      <c r="B15" s="91">
        <v>48</v>
      </c>
      <c r="C15" s="95" t="str">
        <f>LOOKUP(B15,{0,20,30,40,50,60},{"10","20","30","40","50","60","70","80","90"})</f>
        <v>40</v>
      </c>
      <c r="D15" s="91" t="s">
        <v>889</v>
      </c>
      <c r="E15" t="s">
        <v>982</v>
      </c>
      <c r="F15" s="99">
        <v>44771</v>
      </c>
      <c r="G15" s="100"/>
      <c r="H15" s="95" t="s">
        <v>115</v>
      </c>
      <c r="I15" s="90">
        <v>44831</v>
      </c>
      <c r="J15" s="1"/>
      <c r="K15" s="91" t="s">
        <v>730</v>
      </c>
      <c r="L15" s="100"/>
      <c r="M15" s="100"/>
      <c r="N15" s="100"/>
      <c r="O15" s="99">
        <v>44830</v>
      </c>
      <c r="P15" s="99"/>
      <c r="Q15" s="99"/>
      <c r="R15" s="99"/>
      <c r="S15" s="92">
        <v>44930</v>
      </c>
      <c r="T15" s="92">
        <v>45021</v>
      </c>
      <c r="U15" s="92"/>
      <c r="V15" s="92"/>
      <c r="W15" s="92"/>
      <c r="X15" s="92">
        <v>45203</v>
      </c>
      <c r="Y15" s="92">
        <v>44830</v>
      </c>
      <c r="Z15" s="30">
        <f t="shared" si="4"/>
        <v>-1</v>
      </c>
      <c r="AA15" s="30"/>
      <c r="AB15" s="30">
        <v>15</v>
      </c>
      <c r="AC15" s="30">
        <v>10</v>
      </c>
      <c r="AD15" s="30">
        <v>10</v>
      </c>
      <c r="AE15" s="30">
        <v>10</v>
      </c>
      <c r="AF15" s="30">
        <v>10</v>
      </c>
      <c r="AG15" s="30">
        <v>25</v>
      </c>
      <c r="AH15" s="33">
        <f>(AC15+(AD15*2)+AE15)/4</f>
        <v>10</v>
      </c>
      <c r="AI15" s="30">
        <v>20</v>
      </c>
      <c r="AJ15" s="30">
        <v>15</v>
      </c>
      <c r="AK15" s="30">
        <v>10</v>
      </c>
      <c r="AL15" s="30">
        <v>10</v>
      </c>
      <c r="AM15" s="30">
        <v>10</v>
      </c>
      <c r="AN15" s="30">
        <v>10</v>
      </c>
      <c r="AO15" s="30">
        <v>30</v>
      </c>
      <c r="AP15" s="30">
        <v>35</v>
      </c>
      <c r="AQ15" s="31" t="s">
        <v>234</v>
      </c>
      <c r="AR15" s="31" t="s">
        <v>234</v>
      </c>
      <c r="AS15" s="31" t="s">
        <v>234</v>
      </c>
      <c r="AT15" s="31" t="s">
        <v>234</v>
      </c>
      <c r="AU15" s="31" t="s">
        <v>234</v>
      </c>
      <c r="AV15" s="31" t="s">
        <v>234</v>
      </c>
      <c r="AW15" s="31" t="s">
        <v>234</v>
      </c>
      <c r="AX15" s="33">
        <f>(AK15+(AL15*2)+AM15)/4</f>
        <v>10</v>
      </c>
      <c r="AY15" s="33">
        <f>AVERAGE(AK15,AL15,AM15,AO15,AP15)</f>
        <v>19</v>
      </c>
      <c r="AZ15" s="33">
        <f>AVERAGE(AI15:AK15)</f>
        <v>15</v>
      </c>
      <c r="BA15" s="33">
        <f>AVERAGE(AL15:AM15)</f>
        <v>10</v>
      </c>
      <c r="BB15" s="33">
        <f>AVERAGE(AN15:AP15)</f>
        <v>25</v>
      </c>
      <c r="BC15" s="33">
        <f>AVERAGE(AK15:AN15)</f>
        <v>10</v>
      </c>
      <c r="BD15" s="34">
        <v>3</v>
      </c>
      <c r="BE15" s="33">
        <f>IF(BC15&lt;=20,0,IF(BC15&lt;=40,1,IF(BC15&lt;=60,2,IF(BC15&lt;=80,3,IF(BC15&lt;=100,4,5)))))</f>
        <v>0</v>
      </c>
      <c r="BF15" s="30">
        <v>15</v>
      </c>
      <c r="BG15" s="30">
        <v>100</v>
      </c>
      <c r="BH15" s="30">
        <v>10</v>
      </c>
      <c r="BI15" s="30">
        <v>5</v>
      </c>
      <c r="BJ15" s="30">
        <v>5</v>
      </c>
      <c r="BK15" s="30">
        <v>5</v>
      </c>
      <c r="BL15" s="30">
        <v>10</v>
      </c>
      <c r="BM15" s="30">
        <v>10</v>
      </c>
      <c r="BN15" s="33">
        <f>(BI15+(BJ15*2)+BK15)/4</f>
        <v>5</v>
      </c>
      <c r="BO15" s="30">
        <v>15</v>
      </c>
      <c r="BP15" s="30">
        <v>10</v>
      </c>
      <c r="BQ15" s="30">
        <v>5</v>
      </c>
      <c r="BR15" s="30">
        <v>5</v>
      </c>
      <c r="BS15" s="30">
        <v>5</v>
      </c>
      <c r="BT15" s="30">
        <v>10</v>
      </c>
      <c r="BU15" s="30">
        <v>10</v>
      </c>
      <c r="BV15" s="30">
        <v>60</v>
      </c>
      <c r="BW15" s="31" t="s">
        <v>234</v>
      </c>
      <c r="BX15" s="31" t="s">
        <v>234</v>
      </c>
      <c r="BY15" s="31" t="s">
        <v>234</v>
      </c>
      <c r="BZ15" s="31" t="s">
        <v>234</v>
      </c>
      <c r="CA15" s="31" t="s">
        <v>234</v>
      </c>
      <c r="CB15" s="31" t="s">
        <v>234</v>
      </c>
      <c r="CC15" s="31" t="s">
        <v>234</v>
      </c>
      <c r="CD15" s="33">
        <f>(BQ15+(BR15*2)+BS15)/4</f>
        <v>5</v>
      </c>
      <c r="CE15" s="33">
        <f>AVERAGE(BQ15,BR15,BS15,BU15,BV15)</f>
        <v>17</v>
      </c>
      <c r="CF15" s="33">
        <f>AVERAGE(BO15:BQ15)</f>
        <v>10</v>
      </c>
      <c r="CG15" s="33">
        <f>AVERAGE(BR15:BS15)</f>
        <v>5</v>
      </c>
      <c r="CH15" s="33">
        <f>AVERAGE(BT15:BV15)</f>
        <v>26.666666666666668</v>
      </c>
      <c r="CI15" s="33">
        <f>AVERAGE(BQ15:BT15)</f>
        <v>6.25</v>
      </c>
      <c r="CJ15" s="30">
        <v>3</v>
      </c>
      <c r="CK15" s="33">
        <f>IF(CI15&lt;=20,0,IF(CI15&lt;=40,1,IF(CI15&lt;=60,2,IF(CI15&lt;=80,3,IF(CI15&lt;=100,4,5)))))</f>
        <v>0</v>
      </c>
      <c r="CL15" s="30">
        <v>10</v>
      </c>
      <c r="CM15" s="30">
        <v>100</v>
      </c>
      <c r="CN15" s="30" t="s">
        <v>799</v>
      </c>
      <c r="CO15" s="31" t="s">
        <v>800</v>
      </c>
      <c r="CP15" s="30"/>
      <c r="CQ15" s="32">
        <v>44930</v>
      </c>
      <c r="CR15" s="30">
        <f t="shared" si="5"/>
        <v>99</v>
      </c>
      <c r="CS15" s="30"/>
      <c r="CT15" s="30">
        <v>15</v>
      </c>
      <c r="CU15" s="30">
        <v>15</v>
      </c>
      <c r="CV15" s="30">
        <v>10</v>
      </c>
      <c r="CW15" s="30">
        <v>10</v>
      </c>
      <c r="CX15" s="30">
        <v>10</v>
      </c>
      <c r="CY15" s="30">
        <v>25</v>
      </c>
      <c r="CZ15" s="33">
        <f>(CU15+(CV15*2)+CW15)/4</f>
        <v>11.25</v>
      </c>
      <c r="DA15" s="30">
        <v>15</v>
      </c>
      <c r="DB15" s="30">
        <v>15</v>
      </c>
      <c r="DC15" s="30">
        <v>15</v>
      </c>
      <c r="DD15" s="30">
        <v>10</v>
      </c>
      <c r="DE15" s="30">
        <v>10</v>
      </c>
      <c r="DF15" s="30">
        <v>10</v>
      </c>
      <c r="DG15" s="30">
        <v>25</v>
      </c>
      <c r="DH15" s="30">
        <v>30</v>
      </c>
      <c r="DI15" s="30" t="s">
        <v>277</v>
      </c>
      <c r="DJ15" s="30" t="s">
        <v>277</v>
      </c>
      <c r="DK15" s="30" t="s">
        <v>277</v>
      </c>
      <c r="DL15" s="30" t="s">
        <v>277</v>
      </c>
      <c r="DM15" s="30" t="s">
        <v>277</v>
      </c>
      <c r="DN15" s="30" t="s">
        <v>277</v>
      </c>
      <c r="DO15" s="30" t="s">
        <v>277</v>
      </c>
      <c r="DP15" s="33">
        <f>(DC15+(DD15*2)+DE15)/4</f>
        <v>11.25</v>
      </c>
      <c r="DQ15" s="33">
        <f>AVERAGE(DC15,DD15,DE15,DG15,DH15)</f>
        <v>18</v>
      </c>
      <c r="DR15" s="33">
        <f>AVERAGE(DA15:DC15)</f>
        <v>15</v>
      </c>
      <c r="DS15" s="33">
        <f>AVERAGE(DD15:DE15)</f>
        <v>10</v>
      </c>
      <c r="DT15" s="33">
        <f>AVERAGE(DF15:DH15)</f>
        <v>21.666666666666668</v>
      </c>
      <c r="DU15" s="33">
        <f>AVERAGE(DC15:DF15)</f>
        <v>11.25</v>
      </c>
      <c r="DV15" s="30">
        <v>3</v>
      </c>
      <c r="DW15" s="33">
        <f>IF(DU15&lt;=20,0,IF(DU15&lt;=40,1,IF(DU15&lt;=60,2,IF(DU15&lt;=80,3,IF(DU15&lt;=100,4,5)))))</f>
        <v>0</v>
      </c>
      <c r="DX15" s="30">
        <v>20</v>
      </c>
      <c r="DY15" s="30">
        <v>100</v>
      </c>
      <c r="DZ15" s="30">
        <v>5</v>
      </c>
      <c r="EA15" s="30">
        <v>5</v>
      </c>
      <c r="EB15" s="30">
        <v>10</v>
      </c>
      <c r="EC15" s="30">
        <v>10</v>
      </c>
      <c r="ED15" s="30">
        <v>10</v>
      </c>
      <c r="EE15" s="30">
        <v>20</v>
      </c>
      <c r="EF15" s="33">
        <f>(EA15+(EB15*2)+EC15)/4</f>
        <v>8.75</v>
      </c>
      <c r="EG15" s="30">
        <v>15</v>
      </c>
      <c r="EH15" s="30">
        <v>5</v>
      </c>
      <c r="EI15" s="30">
        <v>5</v>
      </c>
      <c r="EJ15" s="30">
        <v>10</v>
      </c>
      <c r="EK15" s="30">
        <v>10</v>
      </c>
      <c r="EL15" s="30">
        <v>10</v>
      </c>
      <c r="EM15" s="30">
        <v>20</v>
      </c>
      <c r="EN15" s="30">
        <v>55</v>
      </c>
      <c r="EO15" s="30" t="s">
        <v>277</v>
      </c>
      <c r="EP15" s="30" t="s">
        <v>277</v>
      </c>
      <c r="EQ15" s="30" t="s">
        <v>277</v>
      </c>
      <c r="ER15" s="30" t="s">
        <v>277</v>
      </c>
      <c r="ES15" s="30" t="s">
        <v>277</v>
      </c>
      <c r="ET15" s="30" t="s">
        <v>277</v>
      </c>
      <c r="EU15" s="30" t="s">
        <v>277</v>
      </c>
      <c r="EV15" s="33">
        <f>(EI15+(EJ15*2)+EK15)/4</f>
        <v>8.75</v>
      </c>
      <c r="EW15" s="33">
        <f>AVERAGE(EI15,EJ15,EK15,EM15,EN15)</f>
        <v>20</v>
      </c>
      <c r="EX15" s="33">
        <f>AVERAGE(EG15:EI15)</f>
        <v>8.3333333333333339</v>
      </c>
      <c r="EY15" s="33">
        <f>AVERAGE(EJ15:EK15)</f>
        <v>10</v>
      </c>
      <c r="EZ15" s="33">
        <f>AVERAGE(EL15:EN15)</f>
        <v>28.333333333333332</v>
      </c>
      <c r="FA15" s="33">
        <f>AVERAGE(EI15:EL15)</f>
        <v>8.75</v>
      </c>
      <c r="FB15" s="30">
        <v>3</v>
      </c>
      <c r="FC15" s="33">
        <f>IF(FA15&lt;=20,0,IF(FA15&lt;=40,1,IF(FA15&lt;=60,2,IF(FA15&lt;=80,3,IF(FA15&lt;=100,4,5)))))</f>
        <v>0</v>
      </c>
      <c r="FD15" s="30">
        <v>15</v>
      </c>
      <c r="FE15" s="30">
        <v>100</v>
      </c>
      <c r="FF15" s="30" t="s">
        <v>801</v>
      </c>
      <c r="FG15" s="30" t="s">
        <v>802</v>
      </c>
      <c r="FH15" s="30"/>
      <c r="FI15" s="32">
        <v>45021</v>
      </c>
      <c r="FJ15" s="30">
        <f t="shared" si="6"/>
        <v>190</v>
      </c>
      <c r="FK15" s="30"/>
      <c r="FL15" s="30">
        <v>5</v>
      </c>
      <c r="FM15" s="30">
        <v>10</v>
      </c>
      <c r="FN15" s="30">
        <v>10</v>
      </c>
      <c r="FO15" s="30">
        <v>10</v>
      </c>
      <c r="FP15" s="30">
        <v>15</v>
      </c>
      <c r="FQ15" s="30">
        <v>25</v>
      </c>
      <c r="FR15" s="33">
        <f>(FM15+(FN15*2)+FO15)/4</f>
        <v>10</v>
      </c>
      <c r="FS15" s="30">
        <v>15</v>
      </c>
      <c r="FT15" s="30">
        <v>5</v>
      </c>
      <c r="FU15" s="30">
        <v>10</v>
      </c>
      <c r="FV15" s="30">
        <v>10</v>
      </c>
      <c r="FW15" s="30">
        <v>10</v>
      </c>
      <c r="FX15" s="30">
        <v>15</v>
      </c>
      <c r="FY15" s="30">
        <v>25</v>
      </c>
      <c r="FZ15" s="30">
        <v>50</v>
      </c>
      <c r="GA15" s="30" t="s">
        <v>234</v>
      </c>
      <c r="GB15" s="30" t="s">
        <v>234</v>
      </c>
      <c r="GC15" s="30" t="s">
        <v>234</v>
      </c>
      <c r="GD15" s="30" t="s">
        <v>234</v>
      </c>
      <c r="GE15" s="30" t="s">
        <v>234</v>
      </c>
      <c r="GF15" s="30" t="s">
        <v>234</v>
      </c>
      <c r="GG15" s="30" t="s">
        <v>234</v>
      </c>
      <c r="GH15" s="33">
        <f>(FU15+(FV15*2)+FW15)/4</f>
        <v>10</v>
      </c>
      <c r="GI15" s="33">
        <f>AVERAGE(FU15,FV15,FW15,FY15,FZ15)</f>
        <v>21</v>
      </c>
      <c r="GJ15" s="33">
        <f>AVERAGE(FS15:FU15)</f>
        <v>10</v>
      </c>
      <c r="GK15" s="33">
        <f>AVERAGE(FV15:FW15)</f>
        <v>10</v>
      </c>
      <c r="GL15" s="33">
        <f>AVERAGE(FX15:FZ15)</f>
        <v>30</v>
      </c>
      <c r="GM15" s="33">
        <f>AVERAGE(FU15:FX15)</f>
        <v>11.25</v>
      </c>
      <c r="GN15" s="30">
        <v>3</v>
      </c>
      <c r="GO15" s="33">
        <f>IF(GM15&lt;=20,0,IF(GM15&lt;=40,1,IF(GM15&lt;=60,2,IF(GM15&lt;=80,3,IF(GM15&lt;=100,4,5)))))</f>
        <v>0</v>
      </c>
      <c r="GP15" s="30">
        <v>15</v>
      </c>
      <c r="GQ15" s="30">
        <v>100</v>
      </c>
      <c r="GR15" s="30">
        <v>10</v>
      </c>
      <c r="GS15" s="30">
        <v>5</v>
      </c>
      <c r="GT15" s="30">
        <v>0</v>
      </c>
      <c r="GU15" s="30">
        <v>0</v>
      </c>
      <c r="GV15" s="30">
        <v>5</v>
      </c>
      <c r="GW15" s="30">
        <v>20</v>
      </c>
      <c r="GX15" s="30">
        <f>(GS15+(GT15*2)+GU15)/4</f>
        <v>1.25</v>
      </c>
      <c r="GY15" s="30">
        <v>15</v>
      </c>
      <c r="GZ15" s="30">
        <v>10</v>
      </c>
      <c r="HA15" s="30">
        <v>5</v>
      </c>
      <c r="HB15" s="30">
        <v>0</v>
      </c>
      <c r="HC15" s="30">
        <v>0</v>
      </c>
      <c r="HD15" s="30">
        <v>5</v>
      </c>
      <c r="HE15" s="30">
        <v>20</v>
      </c>
      <c r="HF15" s="30">
        <v>45</v>
      </c>
      <c r="HG15" s="30" t="s">
        <v>277</v>
      </c>
      <c r="HH15" s="30" t="s">
        <v>277</v>
      </c>
      <c r="HI15" s="30" t="s">
        <v>277</v>
      </c>
      <c r="HJ15" s="30" t="s">
        <v>277</v>
      </c>
      <c r="HK15" s="30" t="s">
        <v>277</v>
      </c>
      <c r="HL15" s="30" t="s">
        <v>277</v>
      </c>
      <c r="HM15" s="30" t="s">
        <v>277</v>
      </c>
      <c r="HN15" s="30">
        <f>(HA15+(HB15*2)+HC15)/4</f>
        <v>1.25</v>
      </c>
      <c r="HO15" s="30">
        <f>AVERAGE(HA15,HB15,HC15,HE15,HF15)</f>
        <v>14</v>
      </c>
      <c r="HP15" s="30">
        <f>AVERAGE(GY15:HA15)</f>
        <v>10</v>
      </c>
      <c r="HQ15" s="30">
        <f>AVERAGE(HB15:HC15)</f>
        <v>0</v>
      </c>
      <c r="HR15" s="30">
        <f>AVERAGE(HD15:HF15)</f>
        <v>23.333333333333332</v>
      </c>
      <c r="HS15" s="30">
        <f>AVERAGE(HA15:HD15)</f>
        <v>2.5</v>
      </c>
      <c r="HT15" s="30"/>
      <c r="HU15" s="30">
        <v>3</v>
      </c>
      <c r="HV15" s="30">
        <f>IF(HS15&lt;=20,0,IF(HS15&lt;=40,1,IF(HS15&lt;=60,2,IF(HS15&lt;=80,3,IF(HS15&lt;=100,4,5)))))</f>
        <v>0</v>
      </c>
      <c r="HW15" s="30">
        <v>10</v>
      </c>
      <c r="HX15" s="30">
        <v>100</v>
      </c>
      <c r="HY15" s="30" t="s">
        <v>803</v>
      </c>
      <c r="HZ15" s="30" t="s">
        <v>804</v>
      </c>
      <c r="IA15" s="30"/>
      <c r="IB15" s="32">
        <v>45203</v>
      </c>
      <c r="IC15" s="84">
        <f t="shared" si="7"/>
        <v>372</v>
      </c>
      <c r="ID15" s="30"/>
      <c r="IE15" s="30">
        <v>5</v>
      </c>
      <c r="IF15" s="30">
        <v>10</v>
      </c>
      <c r="IG15" s="30">
        <v>10</v>
      </c>
      <c r="IH15" s="30">
        <v>15</v>
      </c>
      <c r="II15" s="30">
        <v>10</v>
      </c>
      <c r="IJ15" s="30">
        <v>20</v>
      </c>
      <c r="IK15" s="30">
        <f>(IF15+(IG15*2)+IH15)/4</f>
        <v>11.25</v>
      </c>
      <c r="IL15" s="30">
        <v>10</v>
      </c>
      <c r="IM15" s="30">
        <v>10</v>
      </c>
      <c r="IN15" s="30">
        <v>10</v>
      </c>
      <c r="IO15" s="30">
        <v>10</v>
      </c>
      <c r="IP15" s="30">
        <v>15</v>
      </c>
      <c r="IQ15" s="30">
        <v>10</v>
      </c>
      <c r="IR15" s="30">
        <v>25</v>
      </c>
      <c r="IS15" s="30">
        <v>25</v>
      </c>
      <c r="IT15" s="30" t="s">
        <v>277</v>
      </c>
      <c r="IU15" s="30" t="s">
        <v>277</v>
      </c>
      <c r="IV15" s="30" t="s">
        <v>277</v>
      </c>
      <c r="IW15" s="30" t="s">
        <v>277</v>
      </c>
      <c r="IX15" s="30" t="s">
        <v>277</v>
      </c>
      <c r="IY15" s="30" t="s">
        <v>277</v>
      </c>
      <c r="IZ15" s="30" t="s">
        <v>277</v>
      </c>
      <c r="JA15" s="30">
        <f>(IN15+(IO15*2)+IP15)/4</f>
        <v>11.25</v>
      </c>
      <c r="JB15" s="30">
        <f>AVERAGE(IN15,IO15,IP15,IR15,IS15)</f>
        <v>17</v>
      </c>
      <c r="JC15" s="30">
        <f>AVERAGE(IL15:IN15)</f>
        <v>10</v>
      </c>
      <c r="JD15" s="30">
        <f>AVERAGE(IO15:IP15)</f>
        <v>12.5</v>
      </c>
      <c r="JE15" s="30">
        <f>AVERAGE(IQ15:IS15)</f>
        <v>20</v>
      </c>
      <c r="JF15" s="30">
        <f>AVERAGE(IN15:IQ15)</f>
        <v>11.25</v>
      </c>
      <c r="JG15" s="30">
        <v>4</v>
      </c>
      <c r="JH15" s="30">
        <f>IF(JF15&lt;=20,0,IF(JF15&lt;=40,1,IF(JF15&lt;=60,2,IF(JF15&lt;=80,3,IF(JF15&lt;=100,4,5)))))</f>
        <v>0</v>
      </c>
      <c r="JI15" s="30">
        <v>15</v>
      </c>
      <c r="JJ15" s="30">
        <v>100</v>
      </c>
      <c r="JK15" s="30">
        <v>10</v>
      </c>
      <c r="JL15" s="30">
        <v>5</v>
      </c>
      <c r="JM15" s="30">
        <v>5</v>
      </c>
      <c r="JN15" s="30">
        <v>5</v>
      </c>
      <c r="JO15" s="30">
        <v>10</v>
      </c>
      <c r="JP15" s="30">
        <v>15</v>
      </c>
      <c r="JQ15" s="30">
        <f>(JL15+(JM15*2)+JN15)/4</f>
        <v>5</v>
      </c>
      <c r="JR15" s="30">
        <v>20</v>
      </c>
      <c r="JS15" s="30">
        <v>15</v>
      </c>
      <c r="JT15" s="30">
        <v>5</v>
      </c>
      <c r="JU15" s="30">
        <v>5</v>
      </c>
      <c r="JV15" s="30">
        <v>5</v>
      </c>
      <c r="JW15" s="30">
        <v>10</v>
      </c>
      <c r="JX15" s="30">
        <v>20</v>
      </c>
      <c r="JY15" s="30">
        <v>45</v>
      </c>
      <c r="JZ15" s="30" t="s">
        <v>277</v>
      </c>
      <c r="KA15" s="30" t="s">
        <v>277</v>
      </c>
      <c r="KB15" s="30" t="s">
        <v>277</v>
      </c>
      <c r="KC15" s="30" t="s">
        <v>277</v>
      </c>
      <c r="KD15" s="30" t="s">
        <v>277</v>
      </c>
      <c r="KE15" s="30" t="s">
        <v>277</v>
      </c>
      <c r="KF15" s="30" t="s">
        <v>277</v>
      </c>
      <c r="KG15" s="30">
        <f>(JT15+(JU15*2)+JV15)/4</f>
        <v>5</v>
      </c>
      <c r="KH15" s="30">
        <f>AVERAGE(JT15,JU15,JV15,JX15,JY15)</f>
        <v>16</v>
      </c>
      <c r="KI15" s="30">
        <f>AVERAGE(JR15:JT15)</f>
        <v>13.333333333333334</v>
      </c>
      <c r="KJ15" s="30">
        <f>AVERAGE(JU15:JV15)</f>
        <v>5</v>
      </c>
      <c r="KK15" s="30">
        <f>AVERAGE(JW15:JY15)</f>
        <v>25</v>
      </c>
      <c r="KL15" s="30">
        <f>AVERAGE(JT15:JW15)</f>
        <v>6.25</v>
      </c>
      <c r="KM15" s="30" t="s">
        <v>235</v>
      </c>
      <c r="KN15" s="30">
        <f>IF(KL15&lt;=20,0,IF(KL15&lt;=40,1,IF(KL15&lt;=60,2,IF(KL15&lt;=80,3,IF(KL15&lt;=100,4,5)))))</f>
        <v>0</v>
      </c>
      <c r="KO15" s="30">
        <v>15</v>
      </c>
      <c r="KP15" s="30">
        <v>100</v>
      </c>
      <c r="KQ15" s="30"/>
      <c r="KR15" s="30"/>
      <c r="KS15" s="30" t="s">
        <v>805</v>
      </c>
    </row>
    <row r="16" spans="1:305" hidden="1">
      <c r="A16" s="1" t="s">
        <v>879</v>
      </c>
      <c r="B16" s="91">
        <v>23</v>
      </c>
      <c r="C16" s="95" t="str">
        <f>LOOKUP(B16,{0,20,30,40,50,60},{"10","20","30","40","50","60","70","80","90"})</f>
        <v>20</v>
      </c>
      <c r="D16" s="91" t="s">
        <v>889</v>
      </c>
      <c r="E16" t="s">
        <v>983</v>
      </c>
      <c r="F16" s="99">
        <v>44496</v>
      </c>
      <c r="G16" s="100"/>
      <c r="H16" s="95" t="s">
        <v>115</v>
      </c>
      <c r="I16" s="92">
        <v>44544</v>
      </c>
      <c r="J16" s="1"/>
      <c r="K16" s="91" t="s">
        <v>726</v>
      </c>
      <c r="L16" s="100"/>
      <c r="M16" s="100"/>
      <c r="N16" s="100"/>
      <c r="O16" s="99">
        <v>44543</v>
      </c>
      <c r="P16" s="99"/>
      <c r="Q16" s="99"/>
      <c r="R16" s="99"/>
      <c r="S16" s="92">
        <v>44657</v>
      </c>
      <c r="T16" s="92">
        <v>44748</v>
      </c>
      <c r="U16" s="92"/>
      <c r="V16" s="92"/>
      <c r="W16" s="92"/>
      <c r="X16" s="92">
        <v>44916</v>
      </c>
      <c r="Y16" s="92">
        <v>44543</v>
      </c>
      <c r="Z16" s="30">
        <f t="shared" si="4"/>
        <v>-1</v>
      </c>
      <c r="AA16" s="30"/>
      <c r="AB16" s="30">
        <v>0</v>
      </c>
      <c r="AC16" s="30">
        <v>10</v>
      </c>
      <c r="AD16" s="30">
        <v>5</v>
      </c>
      <c r="AE16" s="30">
        <v>15</v>
      </c>
      <c r="AF16" s="30">
        <v>20</v>
      </c>
      <c r="AG16" s="30">
        <v>15</v>
      </c>
      <c r="AH16" s="33">
        <v>8.75</v>
      </c>
      <c r="AI16" s="30">
        <v>30</v>
      </c>
      <c r="AJ16" s="30">
        <v>20</v>
      </c>
      <c r="AK16" s="30">
        <v>20</v>
      </c>
      <c r="AL16" s="30">
        <v>5</v>
      </c>
      <c r="AM16" s="30">
        <v>15</v>
      </c>
      <c r="AN16" s="30">
        <v>20</v>
      </c>
      <c r="AO16" s="30">
        <v>25</v>
      </c>
      <c r="AP16" s="30">
        <v>25</v>
      </c>
      <c r="AQ16" s="31" t="s">
        <v>234</v>
      </c>
      <c r="AR16" s="31" t="s">
        <v>234</v>
      </c>
      <c r="AS16" s="31" t="s">
        <v>234</v>
      </c>
      <c r="AT16" s="31" t="s">
        <v>234</v>
      </c>
      <c r="AU16" s="31" t="s">
        <v>234</v>
      </c>
      <c r="AV16" s="31" t="s">
        <v>234</v>
      </c>
      <c r="AW16" s="31" t="s">
        <v>234</v>
      </c>
      <c r="AX16" s="33">
        <v>11.25</v>
      </c>
      <c r="AY16" s="33">
        <v>18</v>
      </c>
      <c r="AZ16" s="33">
        <v>23.333333333333332</v>
      </c>
      <c r="BA16" s="33">
        <v>10</v>
      </c>
      <c r="BB16" s="33">
        <v>23.333333333333332</v>
      </c>
      <c r="BC16" s="33">
        <v>15</v>
      </c>
      <c r="BD16" s="34" t="s">
        <v>235</v>
      </c>
      <c r="BE16" s="33">
        <v>0</v>
      </c>
      <c r="BF16" s="30">
        <v>20</v>
      </c>
      <c r="BG16" s="30">
        <v>100</v>
      </c>
      <c r="BH16" s="30">
        <v>0</v>
      </c>
      <c r="BI16" s="30">
        <v>10</v>
      </c>
      <c r="BJ16" s="30">
        <v>0</v>
      </c>
      <c r="BK16" s="30">
        <v>10</v>
      </c>
      <c r="BL16" s="30">
        <v>0</v>
      </c>
      <c r="BM16" s="30">
        <v>10</v>
      </c>
      <c r="BN16" s="33">
        <v>5</v>
      </c>
      <c r="BO16" s="30">
        <v>20</v>
      </c>
      <c r="BP16" s="30">
        <v>20</v>
      </c>
      <c r="BQ16" s="30">
        <v>20</v>
      </c>
      <c r="BR16" s="30">
        <v>25</v>
      </c>
      <c r="BS16" s="30">
        <v>10</v>
      </c>
      <c r="BT16" s="30">
        <v>10</v>
      </c>
      <c r="BU16" s="30">
        <v>25</v>
      </c>
      <c r="BV16" s="30">
        <v>20</v>
      </c>
      <c r="BW16" s="31" t="s">
        <v>234</v>
      </c>
      <c r="BX16" s="31" t="s">
        <v>234</v>
      </c>
      <c r="BY16" s="31" t="s">
        <v>234</v>
      </c>
      <c r="BZ16" s="31" t="s">
        <v>234</v>
      </c>
      <c r="CA16" s="31" t="s">
        <v>234</v>
      </c>
      <c r="CB16" s="31" t="s">
        <v>234</v>
      </c>
      <c r="CC16" s="31" t="s">
        <v>234</v>
      </c>
      <c r="CD16" s="33">
        <v>20</v>
      </c>
      <c r="CE16" s="33">
        <v>20</v>
      </c>
      <c r="CF16" s="33">
        <v>20</v>
      </c>
      <c r="CG16" s="33">
        <v>17.5</v>
      </c>
      <c r="CH16" s="33">
        <v>18.333333333333332</v>
      </c>
      <c r="CI16" s="33">
        <v>16.25</v>
      </c>
      <c r="CJ16" s="31" t="s">
        <v>235</v>
      </c>
      <c r="CK16" s="33">
        <v>0</v>
      </c>
      <c r="CL16" s="30">
        <v>25</v>
      </c>
      <c r="CM16" s="30">
        <v>100</v>
      </c>
      <c r="CN16" s="31" t="s">
        <v>806</v>
      </c>
      <c r="CO16" s="30" t="s">
        <v>807</v>
      </c>
      <c r="CP16" s="30"/>
      <c r="CQ16" s="32">
        <v>44657</v>
      </c>
      <c r="CR16" s="30">
        <f t="shared" si="5"/>
        <v>113</v>
      </c>
      <c r="CS16" s="30"/>
      <c r="CT16" s="30">
        <v>0</v>
      </c>
      <c r="CU16" s="30">
        <v>20</v>
      </c>
      <c r="CV16" s="30">
        <v>0</v>
      </c>
      <c r="CW16" s="30">
        <v>5</v>
      </c>
      <c r="CX16" s="30">
        <v>10</v>
      </c>
      <c r="CY16" s="30">
        <v>15</v>
      </c>
      <c r="CZ16" s="33">
        <v>6.25</v>
      </c>
      <c r="DA16" s="30">
        <v>10</v>
      </c>
      <c r="DB16" s="30">
        <v>10</v>
      </c>
      <c r="DC16" s="30">
        <v>20</v>
      </c>
      <c r="DD16" s="30">
        <v>15</v>
      </c>
      <c r="DE16" s="30">
        <v>5</v>
      </c>
      <c r="DF16" s="30">
        <v>10</v>
      </c>
      <c r="DG16" s="30">
        <v>15</v>
      </c>
      <c r="DH16" s="30">
        <v>55</v>
      </c>
      <c r="DI16" s="30"/>
      <c r="DJ16" s="30"/>
      <c r="DK16" s="30"/>
      <c r="DL16" s="30"/>
      <c r="DM16" s="30"/>
      <c r="DN16" s="30"/>
      <c r="DO16" s="30"/>
      <c r="DP16" s="33">
        <v>13.75</v>
      </c>
      <c r="DQ16" s="33">
        <v>22</v>
      </c>
      <c r="DR16" s="33">
        <v>13.333333333333334</v>
      </c>
      <c r="DS16" s="33">
        <v>10</v>
      </c>
      <c r="DT16" s="33">
        <v>26.666666666666668</v>
      </c>
      <c r="DU16" s="33">
        <v>12.5</v>
      </c>
      <c r="DV16" s="30">
        <v>3</v>
      </c>
      <c r="DW16" s="33">
        <v>0</v>
      </c>
      <c r="DX16" s="30">
        <v>15</v>
      </c>
      <c r="DY16" s="30">
        <v>100</v>
      </c>
      <c r="DZ16" s="30">
        <v>0</v>
      </c>
      <c r="EA16" s="30">
        <v>0</v>
      </c>
      <c r="EB16" s="30">
        <v>0</v>
      </c>
      <c r="EC16" s="30">
        <v>5</v>
      </c>
      <c r="ED16" s="30">
        <v>20</v>
      </c>
      <c r="EE16" s="30">
        <v>10</v>
      </c>
      <c r="EF16" s="33">
        <v>1.25</v>
      </c>
      <c r="EG16" s="30">
        <v>5</v>
      </c>
      <c r="EH16" s="30">
        <v>0</v>
      </c>
      <c r="EI16" s="30">
        <v>0</v>
      </c>
      <c r="EJ16" s="30">
        <v>0</v>
      </c>
      <c r="EK16" s="30">
        <v>5</v>
      </c>
      <c r="EL16" s="30">
        <v>20</v>
      </c>
      <c r="EM16" s="30">
        <v>10</v>
      </c>
      <c r="EN16" s="30">
        <v>15</v>
      </c>
      <c r="EO16" s="30" t="s">
        <v>277</v>
      </c>
      <c r="EP16" s="30" t="s">
        <v>277</v>
      </c>
      <c r="EQ16" s="30" t="s">
        <v>277</v>
      </c>
      <c r="ER16" s="30" t="s">
        <v>277</v>
      </c>
      <c r="ES16" s="30" t="s">
        <v>277</v>
      </c>
      <c r="ET16" s="30" t="s">
        <v>277</v>
      </c>
      <c r="EU16" s="30" t="s">
        <v>277</v>
      </c>
      <c r="EV16" s="33">
        <v>1.25</v>
      </c>
      <c r="EW16" s="33">
        <v>6</v>
      </c>
      <c r="EX16" s="33">
        <v>1.6666666666666667</v>
      </c>
      <c r="EY16" s="33">
        <v>2.5</v>
      </c>
      <c r="EZ16" s="33">
        <v>15</v>
      </c>
      <c r="FA16" s="33">
        <v>6.25</v>
      </c>
      <c r="FB16" s="30">
        <v>3</v>
      </c>
      <c r="FC16" s="33">
        <v>0</v>
      </c>
      <c r="FD16" s="30">
        <v>10</v>
      </c>
      <c r="FE16" s="30">
        <v>100</v>
      </c>
      <c r="FF16" s="30" t="s">
        <v>808</v>
      </c>
      <c r="FG16" s="30" t="s">
        <v>809</v>
      </c>
      <c r="FH16" s="30"/>
      <c r="FI16" s="32">
        <v>44748</v>
      </c>
      <c r="FJ16" s="30">
        <f t="shared" si="6"/>
        <v>204</v>
      </c>
      <c r="FK16" s="30"/>
      <c r="FL16" s="30">
        <v>5</v>
      </c>
      <c r="FM16" s="30">
        <v>20</v>
      </c>
      <c r="FN16" s="30">
        <v>5</v>
      </c>
      <c r="FO16" s="30">
        <v>5</v>
      </c>
      <c r="FP16" s="30">
        <v>20</v>
      </c>
      <c r="FQ16" s="30">
        <v>20</v>
      </c>
      <c r="FR16" s="33">
        <v>8.75</v>
      </c>
      <c r="FS16" s="30">
        <v>10</v>
      </c>
      <c r="FT16" s="30">
        <v>15</v>
      </c>
      <c r="FU16" s="30">
        <v>20</v>
      </c>
      <c r="FV16" s="30">
        <v>15</v>
      </c>
      <c r="FW16" s="30">
        <v>5</v>
      </c>
      <c r="FX16" s="30">
        <v>20</v>
      </c>
      <c r="FY16" s="30">
        <v>20</v>
      </c>
      <c r="FZ16" s="30">
        <v>40</v>
      </c>
      <c r="GA16" s="30"/>
      <c r="GB16" s="30"/>
      <c r="GC16" s="30"/>
      <c r="GD16" s="30"/>
      <c r="GE16" s="30"/>
      <c r="GF16" s="30"/>
      <c r="GG16" s="30"/>
      <c r="GH16" s="33">
        <v>13.75</v>
      </c>
      <c r="GI16" s="33">
        <v>20</v>
      </c>
      <c r="GJ16" s="33">
        <v>15</v>
      </c>
      <c r="GK16" s="33">
        <v>10</v>
      </c>
      <c r="GL16" s="33">
        <v>26.666666666666668</v>
      </c>
      <c r="GM16" s="33">
        <v>15</v>
      </c>
      <c r="GN16" s="30">
        <v>3</v>
      </c>
      <c r="GO16" s="33">
        <v>0</v>
      </c>
      <c r="GP16" s="30">
        <v>20</v>
      </c>
      <c r="GQ16" s="30">
        <v>100</v>
      </c>
      <c r="GR16" s="30">
        <v>5</v>
      </c>
      <c r="GS16" s="30">
        <v>20</v>
      </c>
      <c r="GT16" s="30">
        <v>5</v>
      </c>
      <c r="GU16" s="30">
        <v>15</v>
      </c>
      <c r="GV16" s="30">
        <v>15</v>
      </c>
      <c r="GW16" s="30">
        <v>10</v>
      </c>
      <c r="GX16" s="30">
        <v>11.25</v>
      </c>
      <c r="GY16" s="30">
        <v>10</v>
      </c>
      <c r="GZ16" s="30">
        <v>15</v>
      </c>
      <c r="HA16" s="30">
        <v>20</v>
      </c>
      <c r="HB16" s="30">
        <v>25</v>
      </c>
      <c r="HC16" s="30">
        <v>15</v>
      </c>
      <c r="HD16" s="30">
        <v>15</v>
      </c>
      <c r="HE16" s="30">
        <v>20</v>
      </c>
      <c r="HF16" s="30">
        <v>10</v>
      </c>
      <c r="HG16" s="30"/>
      <c r="HH16" s="30"/>
      <c r="HI16" s="30"/>
      <c r="HJ16" s="30"/>
      <c r="HK16" s="30"/>
      <c r="HL16" s="30"/>
      <c r="HM16" s="30"/>
      <c r="HN16" s="30">
        <v>21.25</v>
      </c>
      <c r="HO16" s="30">
        <v>18</v>
      </c>
      <c r="HP16" s="30">
        <v>15</v>
      </c>
      <c r="HQ16" s="30">
        <v>20</v>
      </c>
      <c r="HR16" s="30">
        <v>15</v>
      </c>
      <c r="HS16" s="30">
        <v>18.75</v>
      </c>
      <c r="HT16" s="30"/>
      <c r="HU16" s="30">
        <v>2</v>
      </c>
      <c r="HV16" s="30">
        <v>0</v>
      </c>
      <c r="HW16" s="30">
        <v>30</v>
      </c>
      <c r="HX16" s="30">
        <v>100</v>
      </c>
      <c r="HY16" s="30" t="s">
        <v>810</v>
      </c>
      <c r="HZ16" s="30" t="s">
        <v>811</v>
      </c>
      <c r="IA16" s="30"/>
      <c r="IB16" s="32">
        <v>44916</v>
      </c>
      <c r="IC16" s="84">
        <f t="shared" si="7"/>
        <v>372</v>
      </c>
      <c r="ID16" s="30"/>
      <c r="IE16" s="30">
        <v>10</v>
      </c>
      <c r="IF16" s="30">
        <v>15</v>
      </c>
      <c r="IG16" s="30">
        <v>5</v>
      </c>
      <c r="IH16" s="30">
        <v>15</v>
      </c>
      <c r="II16" s="30">
        <v>25</v>
      </c>
      <c r="IJ16" s="30">
        <v>25</v>
      </c>
      <c r="IK16" s="30">
        <v>10</v>
      </c>
      <c r="IL16" s="30">
        <v>15</v>
      </c>
      <c r="IM16" s="30">
        <v>10</v>
      </c>
      <c r="IN16" s="30">
        <v>10</v>
      </c>
      <c r="IO16" s="30">
        <v>10</v>
      </c>
      <c r="IP16" s="30">
        <v>15</v>
      </c>
      <c r="IQ16" s="30">
        <v>30</v>
      </c>
      <c r="IR16" s="30">
        <v>25</v>
      </c>
      <c r="IS16" s="30">
        <v>25</v>
      </c>
      <c r="IT16" s="30"/>
      <c r="IU16" s="30"/>
      <c r="IV16" s="30"/>
      <c r="IW16" s="30"/>
      <c r="IX16" s="30"/>
      <c r="IY16" s="30"/>
      <c r="IZ16" s="30"/>
      <c r="JA16" s="30">
        <v>11.25</v>
      </c>
      <c r="JB16" s="30">
        <v>17</v>
      </c>
      <c r="JC16" s="30">
        <v>11.666666666666666</v>
      </c>
      <c r="JD16" s="30">
        <v>12.5</v>
      </c>
      <c r="JE16" s="30">
        <v>26.666666666666668</v>
      </c>
      <c r="JF16" s="30">
        <v>16.25</v>
      </c>
      <c r="JG16" s="30">
        <v>3</v>
      </c>
      <c r="JH16" s="30">
        <v>0</v>
      </c>
      <c r="JI16" s="30">
        <v>20</v>
      </c>
      <c r="JJ16" s="30">
        <v>100</v>
      </c>
      <c r="JK16" s="30">
        <v>10</v>
      </c>
      <c r="JL16" s="30">
        <v>10</v>
      </c>
      <c r="JM16" s="30">
        <v>10</v>
      </c>
      <c r="JN16" s="30">
        <v>15</v>
      </c>
      <c r="JO16" s="30">
        <v>25</v>
      </c>
      <c r="JP16" s="30">
        <v>20</v>
      </c>
      <c r="JQ16" s="30">
        <v>11.25</v>
      </c>
      <c r="JR16" s="30">
        <v>15</v>
      </c>
      <c r="JS16" s="30">
        <v>10</v>
      </c>
      <c r="JT16" s="30">
        <v>10</v>
      </c>
      <c r="JU16" s="30">
        <v>10</v>
      </c>
      <c r="JV16" s="30">
        <v>15</v>
      </c>
      <c r="JW16" s="30">
        <v>30</v>
      </c>
      <c r="JX16" s="30">
        <v>25</v>
      </c>
      <c r="JY16" s="30">
        <v>25</v>
      </c>
      <c r="JZ16" s="30"/>
      <c r="KA16" s="30"/>
      <c r="KB16" s="30"/>
      <c r="KC16" s="30"/>
      <c r="KD16" s="30"/>
      <c r="KE16" s="30"/>
      <c r="KF16" s="30"/>
      <c r="KG16" s="30">
        <v>11.25</v>
      </c>
      <c r="KH16" s="30">
        <v>17</v>
      </c>
      <c r="KI16" s="30">
        <v>11.666666666666666</v>
      </c>
      <c r="KJ16" s="30">
        <v>12.5</v>
      </c>
      <c r="KK16" s="30">
        <v>26.666666666666668</v>
      </c>
      <c r="KL16" s="30">
        <v>16.25</v>
      </c>
      <c r="KM16" s="30">
        <v>3</v>
      </c>
      <c r="KN16" s="30">
        <v>0</v>
      </c>
      <c r="KO16" s="30">
        <v>20</v>
      </c>
      <c r="KP16" s="30">
        <v>100</v>
      </c>
      <c r="KQ16" s="30" t="s">
        <v>812</v>
      </c>
      <c r="KR16" s="30" t="s">
        <v>813</v>
      </c>
    </row>
    <row r="17" spans="1:305" hidden="1">
      <c r="A17" s="1" t="s">
        <v>880</v>
      </c>
      <c r="B17" s="91">
        <v>48</v>
      </c>
      <c r="C17" s="95" t="str">
        <f>LOOKUP(B17,{0,20,30,40,50,60},{"10","20","30","40","50","60","70","80","90"})</f>
        <v>40</v>
      </c>
      <c r="D17" s="91" t="s">
        <v>889</v>
      </c>
      <c r="E17" t="s">
        <v>984</v>
      </c>
      <c r="F17" s="99">
        <v>44538</v>
      </c>
      <c r="G17" s="100"/>
      <c r="H17" s="95" t="s">
        <v>115</v>
      </c>
      <c r="I17" s="90">
        <v>44579</v>
      </c>
      <c r="J17" s="1"/>
      <c r="K17" s="91" t="s">
        <v>727</v>
      </c>
      <c r="L17" s="100"/>
      <c r="M17" s="100"/>
      <c r="N17" s="100"/>
      <c r="O17" s="99">
        <v>44578</v>
      </c>
      <c r="P17" s="99"/>
      <c r="Q17" s="99"/>
      <c r="R17" s="99"/>
      <c r="S17" s="92">
        <v>44669</v>
      </c>
      <c r="T17" s="92">
        <v>44767</v>
      </c>
      <c r="U17" s="92"/>
      <c r="V17" s="92"/>
      <c r="W17" s="92"/>
      <c r="X17" s="92">
        <v>45005</v>
      </c>
      <c r="Y17" s="92">
        <v>44578</v>
      </c>
      <c r="Z17" s="30">
        <f t="shared" si="4"/>
        <v>-1</v>
      </c>
      <c r="AA17" s="30"/>
      <c r="AB17" s="30">
        <v>0</v>
      </c>
      <c r="AC17" s="30">
        <v>15</v>
      </c>
      <c r="AD17" s="30">
        <v>5</v>
      </c>
      <c r="AE17" s="30">
        <v>25</v>
      </c>
      <c r="AF17" s="30">
        <v>15</v>
      </c>
      <c r="AG17" s="30">
        <v>15</v>
      </c>
      <c r="AH17" s="33">
        <v>12.5</v>
      </c>
      <c r="AI17" s="30">
        <v>35</v>
      </c>
      <c r="AJ17" s="30">
        <v>30</v>
      </c>
      <c r="AK17" s="30">
        <v>15</v>
      </c>
      <c r="AL17" s="30">
        <v>30</v>
      </c>
      <c r="AM17" s="30">
        <v>25</v>
      </c>
      <c r="AN17" s="30">
        <v>20</v>
      </c>
      <c r="AO17" s="30">
        <v>15</v>
      </c>
      <c r="AP17" s="30">
        <v>25</v>
      </c>
      <c r="AQ17" s="31" t="s">
        <v>234</v>
      </c>
      <c r="AR17" s="31" t="s">
        <v>234</v>
      </c>
      <c r="AS17" s="31" t="s">
        <v>234</v>
      </c>
      <c r="AT17" s="31" t="s">
        <v>234</v>
      </c>
      <c r="AU17" s="31" t="s">
        <v>234</v>
      </c>
      <c r="AV17" s="31" t="s">
        <v>234</v>
      </c>
      <c r="AW17" s="31" t="s">
        <v>234</v>
      </c>
      <c r="AX17" s="33">
        <v>25</v>
      </c>
      <c r="AY17" s="33">
        <v>22</v>
      </c>
      <c r="AZ17" s="33">
        <v>26.666666666666668</v>
      </c>
      <c r="BA17" s="33">
        <v>27.5</v>
      </c>
      <c r="BB17" s="33">
        <v>20</v>
      </c>
      <c r="BC17" s="33">
        <v>22.5</v>
      </c>
      <c r="BD17" s="34">
        <v>1</v>
      </c>
      <c r="BE17" s="33">
        <v>1</v>
      </c>
      <c r="BF17" s="30">
        <v>25</v>
      </c>
      <c r="BG17" s="30">
        <v>100</v>
      </c>
      <c r="BH17" s="30">
        <v>5</v>
      </c>
      <c r="BI17" s="30">
        <v>5</v>
      </c>
      <c r="BJ17" s="30">
        <v>5</v>
      </c>
      <c r="BK17" s="30">
        <v>15</v>
      </c>
      <c r="BL17" s="30">
        <v>15</v>
      </c>
      <c r="BM17" s="30">
        <v>15</v>
      </c>
      <c r="BN17" s="33">
        <v>7.5</v>
      </c>
      <c r="BO17" s="30">
        <v>10</v>
      </c>
      <c r="BP17" s="30">
        <v>5</v>
      </c>
      <c r="BQ17" s="30">
        <v>5</v>
      </c>
      <c r="BR17" s="30">
        <v>5</v>
      </c>
      <c r="BS17" s="30">
        <v>15</v>
      </c>
      <c r="BT17" s="30">
        <v>15</v>
      </c>
      <c r="BU17" s="30">
        <v>15</v>
      </c>
      <c r="BV17" s="30">
        <v>10</v>
      </c>
      <c r="BW17" s="31" t="s">
        <v>234</v>
      </c>
      <c r="BX17" s="31" t="s">
        <v>234</v>
      </c>
      <c r="BY17" s="31" t="s">
        <v>234</v>
      </c>
      <c r="BZ17" s="31" t="s">
        <v>234</v>
      </c>
      <c r="CA17" s="31" t="s">
        <v>234</v>
      </c>
      <c r="CB17" s="31" t="s">
        <v>234</v>
      </c>
      <c r="CC17" s="31" t="s">
        <v>234</v>
      </c>
      <c r="CD17" s="33">
        <v>7.5</v>
      </c>
      <c r="CE17" s="33">
        <v>10</v>
      </c>
      <c r="CF17" s="33">
        <v>6.666666666666667</v>
      </c>
      <c r="CG17" s="33">
        <v>10</v>
      </c>
      <c r="CH17" s="33">
        <v>13.333333333333334</v>
      </c>
      <c r="CI17" s="33">
        <v>10</v>
      </c>
      <c r="CJ17" s="30">
        <v>4</v>
      </c>
      <c r="CK17" s="33">
        <v>0</v>
      </c>
      <c r="CL17" s="30">
        <v>15</v>
      </c>
      <c r="CM17" s="30">
        <v>100</v>
      </c>
      <c r="CN17" s="31" t="s">
        <v>814</v>
      </c>
      <c r="CO17" s="31" t="s">
        <v>815</v>
      </c>
      <c r="CP17" s="30"/>
      <c r="CQ17" s="32">
        <v>44669</v>
      </c>
      <c r="CR17" s="30">
        <f t="shared" si="5"/>
        <v>90</v>
      </c>
      <c r="CS17" s="30"/>
      <c r="CT17" s="30">
        <v>0</v>
      </c>
      <c r="CU17" s="30">
        <v>5</v>
      </c>
      <c r="CV17" s="30">
        <v>5</v>
      </c>
      <c r="CW17" s="30">
        <v>15</v>
      </c>
      <c r="CX17" s="30">
        <v>25</v>
      </c>
      <c r="CY17" s="30">
        <v>15</v>
      </c>
      <c r="CZ17" s="33">
        <v>7.5</v>
      </c>
      <c r="DA17" s="30">
        <v>10</v>
      </c>
      <c r="DB17" s="30">
        <v>15</v>
      </c>
      <c r="DC17" s="30">
        <v>20</v>
      </c>
      <c r="DD17" s="30">
        <v>15</v>
      </c>
      <c r="DE17" s="30">
        <v>15</v>
      </c>
      <c r="DF17" s="30">
        <v>25</v>
      </c>
      <c r="DG17" s="30">
        <v>35</v>
      </c>
      <c r="DH17" s="30">
        <v>35</v>
      </c>
      <c r="DI17" s="30"/>
      <c r="DJ17" s="30"/>
      <c r="DK17" s="30"/>
      <c r="DL17" s="30"/>
      <c r="DM17" s="30"/>
      <c r="DN17" s="30"/>
      <c r="DO17" s="30"/>
      <c r="DP17" s="33">
        <v>16.25</v>
      </c>
      <c r="DQ17" s="33">
        <v>24</v>
      </c>
      <c r="DR17" s="33">
        <v>15</v>
      </c>
      <c r="DS17" s="33">
        <v>15</v>
      </c>
      <c r="DT17" s="33">
        <v>31.666666666666668</v>
      </c>
      <c r="DU17" s="33">
        <v>18.75</v>
      </c>
      <c r="DV17" s="30">
        <v>3</v>
      </c>
      <c r="DW17" s="33">
        <v>0</v>
      </c>
      <c r="DX17" s="30">
        <v>25</v>
      </c>
      <c r="DY17" s="30">
        <v>100</v>
      </c>
      <c r="DZ17" s="30">
        <v>5</v>
      </c>
      <c r="EA17" s="30">
        <v>5</v>
      </c>
      <c r="EB17" s="30">
        <v>0</v>
      </c>
      <c r="EC17" s="30">
        <v>10</v>
      </c>
      <c r="ED17" s="30">
        <v>15</v>
      </c>
      <c r="EE17" s="30">
        <v>15</v>
      </c>
      <c r="EF17" s="33">
        <v>3.75</v>
      </c>
      <c r="EG17" s="30">
        <v>15</v>
      </c>
      <c r="EH17" s="30">
        <v>5</v>
      </c>
      <c r="EI17" s="30">
        <v>5</v>
      </c>
      <c r="EJ17" s="30">
        <v>0</v>
      </c>
      <c r="EK17" s="30">
        <v>10</v>
      </c>
      <c r="EL17" s="30">
        <v>15</v>
      </c>
      <c r="EM17" s="30">
        <v>15</v>
      </c>
      <c r="EN17" s="30">
        <v>15</v>
      </c>
      <c r="EO17" s="30" t="s">
        <v>277</v>
      </c>
      <c r="EP17" s="30" t="s">
        <v>277</v>
      </c>
      <c r="EQ17" s="30" t="s">
        <v>277</v>
      </c>
      <c r="ER17" s="30" t="s">
        <v>277</v>
      </c>
      <c r="ES17" s="30" t="s">
        <v>277</v>
      </c>
      <c r="ET17" s="30" t="s">
        <v>277</v>
      </c>
      <c r="EU17" s="30" t="s">
        <v>277</v>
      </c>
      <c r="EV17" s="33">
        <v>3.75</v>
      </c>
      <c r="EW17" s="33">
        <v>9</v>
      </c>
      <c r="EX17" s="33">
        <v>8.3333333333333339</v>
      </c>
      <c r="EY17" s="33">
        <v>5</v>
      </c>
      <c r="EZ17" s="33">
        <v>15</v>
      </c>
      <c r="FA17" s="33">
        <v>7.5</v>
      </c>
      <c r="FB17" s="30" t="s">
        <v>235</v>
      </c>
      <c r="FC17" s="33">
        <v>0</v>
      </c>
      <c r="FD17" s="30">
        <v>15</v>
      </c>
      <c r="FE17" s="30">
        <v>100</v>
      </c>
      <c r="FF17" s="30" t="s">
        <v>816</v>
      </c>
      <c r="FG17" s="30" t="s">
        <v>817</v>
      </c>
      <c r="FH17" s="30"/>
      <c r="FI17" s="32">
        <v>44767</v>
      </c>
      <c r="FJ17" s="30">
        <f t="shared" si="6"/>
        <v>188</v>
      </c>
      <c r="FK17" s="30"/>
      <c r="FL17" s="30">
        <v>0</v>
      </c>
      <c r="FM17" s="30">
        <v>15</v>
      </c>
      <c r="FN17" s="30">
        <v>15</v>
      </c>
      <c r="FO17" s="30">
        <v>20</v>
      </c>
      <c r="FP17" s="30">
        <v>30</v>
      </c>
      <c r="FQ17" s="30">
        <v>15</v>
      </c>
      <c r="FR17" s="33">
        <v>16.25</v>
      </c>
      <c r="FS17" s="30">
        <v>20</v>
      </c>
      <c r="FT17" s="30">
        <v>15</v>
      </c>
      <c r="FU17" s="30">
        <v>15</v>
      </c>
      <c r="FV17" s="30">
        <v>15</v>
      </c>
      <c r="FW17" s="30">
        <v>20</v>
      </c>
      <c r="FX17" s="30">
        <v>30</v>
      </c>
      <c r="FY17" s="30">
        <v>30</v>
      </c>
      <c r="FZ17" s="30">
        <v>35</v>
      </c>
      <c r="GA17" s="30">
        <v>50</v>
      </c>
      <c r="GB17" s="30">
        <v>50</v>
      </c>
      <c r="GC17" s="30">
        <v>70</v>
      </c>
      <c r="GD17" s="42">
        <v>65</v>
      </c>
      <c r="GE17" s="42">
        <v>45</v>
      </c>
      <c r="GF17" s="42">
        <v>20</v>
      </c>
      <c r="GG17" s="62">
        <v>0</v>
      </c>
      <c r="GH17" s="33">
        <v>16.25</v>
      </c>
      <c r="GI17" s="33">
        <v>23</v>
      </c>
      <c r="GJ17" s="33">
        <v>16.666666666666668</v>
      </c>
      <c r="GK17" s="33">
        <v>17.5</v>
      </c>
      <c r="GL17" s="33">
        <v>31.666666666666668</v>
      </c>
      <c r="GM17" s="33">
        <v>20</v>
      </c>
      <c r="GN17" s="30">
        <v>3</v>
      </c>
      <c r="GO17" s="33">
        <v>0</v>
      </c>
      <c r="GP17" s="30">
        <v>25</v>
      </c>
      <c r="GQ17" s="30">
        <v>100</v>
      </c>
      <c r="GR17" s="30">
        <v>5</v>
      </c>
      <c r="GS17" s="30">
        <v>5</v>
      </c>
      <c r="GT17" s="30">
        <v>10</v>
      </c>
      <c r="GU17" s="30">
        <v>10</v>
      </c>
      <c r="GV17" s="30">
        <v>15</v>
      </c>
      <c r="GW17" s="30">
        <v>15</v>
      </c>
      <c r="GX17" s="30">
        <v>8.75</v>
      </c>
      <c r="GY17" s="30">
        <v>15</v>
      </c>
      <c r="GZ17" s="30">
        <v>5</v>
      </c>
      <c r="HA17" s="30">
        <v>5</v>
      </c>
      <c r="HB17" s="30">
        <v>10</v>
      </c>
      <c r="HC17" s="30">
        <v>10</v>
      </c>
      <c r="HD17" s="30">
        <v>15</v>
      </c>
      <c r="HE17" s="30">
        <v>15</v>
      </c>
      <c r="HF17" s="30">
        <v>20</v>
      </c>
      <c r="HG17" s="30">
        <v>20</v>
      </c>
      <c r="HH17" s="30">
        <v>20</v>
      </c>
      <c r="HI17" s="30">
        <v>40</v>
      </c>
      <c r="HJ17" s="30">
        <v>55</v>
      </c>
      <c r="HK17" s="30" t="s">
        <v>560</v>
      </c>
      <c r="HL17" s="30" t="s">
        <v>558</v>
      </c>
      <c r="HM17" s="44" t="s">
        <v>559</v>
      </c>
      <c r="HN17" s="30">
        <v>8.75</v>
      </c>
      <c r="HO17" s="30">
        <v>12</v>
      </c>
      <c r="HP17" s="30">
        <v>8.3333333333333339</v>
      </c>
      <c r="HQ17" s="30">
        <v>10</v>
      </c>
      <c r="HR17" s="30">
        <v>16.666666666666668</v>
      </c>
      <c r="HS17" s="30">
        <v>10</v>
      </c>
      <c r="HT17" s="30"/>
      <c r="HU17" s="30">
        <v>3</v>
      </c>
      <c r="HV17" s="30">
        <v>0</v>
      </c>
      <c r="HW17" s="30">
        <v>20</v>
      </c>
      <c r="HX17" s="30">
        <v>100</v>
      </c>
      <c r="HY17" s="30" t="s">
        <v>818</v>
      </c>
      <c r="HZ17" s="30" t="s">
        <v>819</v>
      </c>
      <c r="IA17" s="30"/>
      <c r="IB17" s="32">
        <v>45005</v>
      </c>
      <c r="IC17" s="84">
        <f t="shared" si="7"/>
        <v>426</v>
      </c>
      <c r="ID17" s="30"/>
      <c r="IE17" s="30">
        <v>5</v>
      </c>
      <c r="IF17" s="30">
        <v>20</v>
      </c>
      <c r="IG17" s="30">
        <v>10</v>
      </c>
      <c r="IH17" s="30">
        <v>15</v>
      </c>
      <c r="II17" s="30">
        <v>25</v>
      </c>
      <c r="IJ17" s="30">
        <v>15</v>
      </c>
      <c r="IK17" s="30">
        <v>13.75</v>
      </c>
      <c r="IL17" s="30">
        <v>35</v>
      </c>
      <c r="IM17" s="30">
        <v>35</v>
      </c>
      <c r="IN17" s="30">
        <v>20</v>
      </c>
      <c r="IO17" s="30">
        <v>10</v>
      </c>
      <c r="IP17" s="30">
        <v>15</v>
      </c>
      <c r="IQ17" s="30">
        <v>30</v>
      </c>
      <c r="IR17" s="30">
        <v>35</v>
      </c>
      <c r="IS17" s="30">
        <v>30</v>
      </c>
      <c r="IT17" s="30"/>
      <c r="IU17" s="30"/>
      <c r="IV17" s="30"/>
      <c r="IW17" s="30"/>
      <c r="IX17" s="30"/>
      <c r="IY17" s="30"/>
      <c r="IZ17" s="30"/>
      <c r="JA17" s="30">
        <v>13.75</v>
      </c>
      <c r="JB17" s="30">
        <v>22</v>
      </c>
      <c r="JC17" s="30">
        <v>30</v>
      </c>
      <c r="JD17" s="30">
        <v>12.5</v>
      </c>
      <c r="JE17" s="30">
        <v>31.666666666666668</v>
      </c>
      <c r="JF17" s="30">
        <v>18.75</v>
      </c>
      <c r="JG17" s="30" t="s">
        <v>235</v>
      </c>
      <c r="JH17" s="30">
        <v>0</v>
      </c>
      <c r="JI17" s="30">
        <v>20</v>
      </c>
      <c r="JJ17" s="30">
        <v>100</v>
      </c>
      <c r="JK17" s="30">
        <v>10</v>
      </c>
      <c r="JL17" s="30">
        <v>5</v>
      </c>
      <c r="JM17" s="30">
        <v>10</v>
      </c>
      <c r="JN17" s="30">
        <v>15</v>
      </c>
      <c r="JO17" s="30">
        <v>10</v>
      </c>
      <c r="JP17" s="30">
        <v>15</v>
      </c>
      <c r="JQ17" s="30">
        <v>10</v>
      </c>
      <c r="JR17" s="30">
        <v>15</v>
      </c>
      <c r="JS17" s="30">
        <v>10</v>
      </c>
      <c r="JT17" s="30">
        <v>5</v>
      </c>
      <c r="JU17" s="30">
        <v>10</v>
      </c>
      <c r="JV17" s="30">
        <v>15</v>
      </c>
      <c r="JW17" s="30">
        <v>10</v>
      </c>
      <c r="JX17" s="30">
        <v>15</v>
      </c>
      <c r="JY17" s="30">
        <v>20</v>
      </c>
      <c r="JZ17" s="30"/>
      <c r="KA17" s="30"/>
      <c r="KB17" s="30"/>
      <c r="KC17" s="30"/>
      <c r="KD17" s="30"/>
      <c r="KE17" s="30"/>
      <c r="KF17" s="30"/>
      <c r="KG17" s="30">
        <v>10</v>
      </c>
      <c r="KH17" s="30">
        <v>13</v>
      </c>
      <c r="KI17" s="30">
        <v>10</v>
      </c>
      <c r="KJ17" s="30">
        <v>12.5</v>
      </c>
      <c r="KK17" s="30">
        <v>15</v>
      </c>
      <c r="KL17" s="30">
        <v>10</v>
      </c>
      <c r="KM17" s="30" t="s">
        <v>235</v>
      </c>
      <c r="KN17" s="30">
        <v>0</v>
      </c>
      <c r="KO17" s="30">
        <v>15</v>
      </c>
      <c r="KP17" s="30">
        <v>0</v>
      </c>
      <c r="KQ17" s="30" t="s">
        <v>820</v>
      </c>
      <c r="KR17" s="30" t="s">
        <v>821</v>
      </c>
    </row>
    <row r="18" spans="1:305" hidden="1">
      <c r="A18" s="1" t="s">
        <v>881</v>
      </c>
      <c r="B18" s="91">
        <v>39</v>
      </c>
      <c r="C18" s="95" t="str">
        <f>LOOKUP(B18,{0,20,30,40,50,60},{"10","20","30","40","50","60","70","80","90"})</f>
        <v>30</v>
      </c>
      <c r="D18" s="91" t="s">
        <v>889</v>
      </c>
      <c r="E18" t="s">
        <v>985</v>
      </c>
      <c r="F18" s="99">
        <v>44537</v>
      </c>
      <c r="G18" s="100"/>
      <c r="H18" s="95" t="s">
        <v>115</v>
      </c>
      <c r="I18" s="90">
        <v>44581</v>
      </c>
      <c r="J18" s="1"/>
      <c r="K18" s="91" t="s">
        <v>727</v>
      </c>
      <c r="L18" s="100"/>
      <c r="M18" s="100"/>
      <c r="N18" s="100"/>
      <c r="O18" s="99">
        <v>44580</v>
      </c>
      <c r="P18" s="99"/>
      <c r="Q18" s="99"/>
      <c r="R18" s="99"/>
      <c r="S18" s="92">
        <v>44692</v>
      </c>
      <c r="T18" s="92">
        <v>44755</v>
      </c>
      <c r="U18" s="92"/>
      <c r="V18" s="92"/>
      <c r="W18" s="92"/>
      <c r="X18" s="92">
        <v>44942</v>
      </c>
      <c r="Y18" s="93">
        <v>44580</v>
      </c>
      <c r="Z18" s="30">
        <f t="shared" si="4"/>
        <v>-1</v>
      </c>
      <c r="AA18" s="31"/>
      <c r="AB18" s="31">
        <v>15</v>
      </c>
      <c r="AC18" s="31">
        <v>25</v>
      </c>
      <c r="AD18" s="30">
        <v>15</v>
      </c>
      <c r="AE18" s="30">
        <v>25</v>
      </c>
      <c r="AF18" s="30">
        <v>25</v>
      </c>
      <c r="AG18" s="30">
        <v>20</v>
      </c>
      <c r="AH18" s="33">
        <v>20</v>
      </c>
      <c r="AI18" s="30">
        <v>60</v>
      </c>
      <c r="AJ18" s="30">
        <v>45</v>
      </c>
      <c r="AK18" s="30">
        <v>40</v>
      </c>
      <c r="AL18" s="30">
        <v>50</v>
      </c>
      <c r="AM18" s="30">
        <v>50</v>
      </c>
      <c r="AN18" s="30">
        <v>50</v>
      </c>
      <c r="AO18" s="30">
        <v>40</v>
      </c>
      <c r="AP18" s="30">
        <v>75</v>
      </c>
      <c r="AQ18" s="31" t="s">
        <v>234</v>
      </c>
      <c r="AR18" s="31" t="s">
        <v>234</v>
      </c>
      <c r="AS18" s="31" t="s">
        <v>234</v>
      </c>
      <c r="AT18" s="31" t="s">
        <v>234</v>
      </c>
      <c r="AU18" s="31" t="s">
        <v>234</v>
      </c>
      <c r="AV18" s="31" t="s">
        <v>234</v>
      </c>
      <c r="AW18" s="31" t="s">
        <v>234</v>
      </c>
      <c r="AX18" s="33">
        <v>47.5</v>
      </c>
      <c r="AY18" s="33">
        <v>51</v>
      </c>
      <c r="AZ18" s="33">
        <v>48.333333333333336</v>
      </c>
      <c r="BA18" s="33">
        <v>50</v>
      </c>
      <c r="BB18" s="33">
        <v>55</v>
      </c>
      <c r="BC18" s="33">
        <v>47.5</v>
      </c>
      <c r="BD18" s="34" t="s">
        <v>235</v>
      </c>
      <c r="BE18" s="33">
        <v>2</v>
      </c>
      <c r="BF18" s="30">
        <v>50</v>
      </c>
      <c r="BG18" s="30">
        <v>100</v>
      </c>
      <c r="BH18" s="30">
        <v>15</v>
      </c>
      <c r="BI18" s="30">
        <v>5</v>
      </c>
      <c r="BJ18" s="30">
        <v>15</v>
      </c>
      <c r="BK18" s="30">
        <v>25</v>
      </c>
      <c r="BL18" s="30">
        <v>15</v>
      </c>
      <c r="BM18" s="30">
        <v>5</v>
      </c>
      <c r="BN18" s="33">
        <v>15</v>
      </c>
      <c r="BO18" s="30">
        <v>15</v>
      </c>
      <c r="BP18" s="30">
        <v>20</v>
      </c>
      <c r="BQ18" s="30">
        <v>5</v>
      </c>
      <c r="BR18" s="30">
        <v>15</v>
      </c>
      <c r="BS18" s="30">
        <v>25</v>
      </c>
      <c r="BT18" s="30">
        <v>15</v>
      </c>
      <c r="BU18" s="30">
        <v>5</v>
      </c>
      <c r="BV18" s="30">
        <v>45</v>
      </c>
      <c r="BW18" s="31" t="s">
        <v>234</v>
      </c>
      <c r="BX18" s="31" t="s">
        <v>234</v>
      </c>
      <c r="BY18" s="31" t="s">
        <v>234</v>
      </c>
      <c r="BZ18" s="31" t="s">
        <v>234</v>
      </c>
      <c r="CA18" s="31" t="s">
        <v>234</v>
      </c>
      <c r="CB18" s="31" t="s">
        <v>234</v>
      </c>
      <c r="CC18" s="31" t="s">
        <v>234</v>
      </c>
      <c r="CD18" s="33">
        <v>15</v>
      </c>
      <c r="CE18" s="33">
        <v>19</v>
      </c>
      <c r="CF18" s="33">
        <v>13.333333333333334</v>
      </c>
      <c r="CG18" s="33">
        <v>20</v>
      </c>
      <c r="CH18" s="33">
        <v>21.666666666666668</v>
      </c>
      <c r="CI18" s="33">
        <v>15</v>
      </c>
      <c r="CJ18" s="30">
        <v>3</v>
      </c>
      <c r="CK18" s="33">
        <v>0</v>
      </c>
      <c r="CL18" s="30">
        <v>50</v>
      </c>
      <c r="CM18" s="30">
        <v>100</v>
      </c>
      <c r="CN18" s="31" t="s">
        <v>822</v>
      </c>
      <c r="CO18" s="31" t="s">
        <v>823</v>
      </c>
      <c r="CP18" s="30"/>
      <c r="CQ18" s="32">
        <v>44692</v>
      </c>
      <c r="CR18" s="30">
        <f t="shared" si="5"/>
        <v>111</v>
      </c>
      <c r="CS18" s="30"/>
      <c r="CT18" s="30">
        <v>5</v>
      </c>
      <c r="CU18" s="30">
        <v>15</v>
      </c>
      <c r="CV18" s="30">
        <v>15</v>
      </c>
      <c r="CW18" s="30">
        <v>35</v>
      </c>
      <c r="CX18" s="30">
        <v>30</v>
      </c>
      <c r="CY18" s="30">
        <v>15</v>
      </c>
      <c r="CZ18" s="33">
        <v>20</v>
      </c>
      <c r="DA18" s="30">
        <v>25</v>
      </c>
      <c r="DB18" s="30">
        <v>20</v>
      </c>
      <c r="DC18" s="30">
        <v>25</v>
      </c>
      <c r="DD18" s="30">
        <v>25</v>
      </c>
      <c r="DE18" s="30">
        <v>35</v>
      </c>
      <c r="DF18" s="30">
        <v>35</v>
      </c>
      <c r="DG18" s="30">
        <v>20</v>
      </c>
      <c r="DH18" s="30">
        <v>75</v>
      </c>
      <c r="DI18" s="30"/>
      <c r="DJ18" s="30"/>
      <c r="DK18" s="30"/>
      <c r="DL18" s="30"/>
      <c r="DM18" s="30"/>
      <c r="DN18" s="30"/>
      <c r="DO18" s="30"/>
      <c r="DP18" s="33">
        <v>27.5</v>
      </c>
      <c r="DQ18" s="33">
        <v>36</v>
      </c>
      <c r="DR18" s="33">
        <v>23.333333333333332</v>
      </c>
      <c r="DS18" s="33">
        <v>30</v>
      </c>
      <c r="DT18" s="33">
        <v>43.333333333333336</v>
      </c>
      <c r="DU18" s="33">
        <v>30</v>
      </c>
      <c r="DV18" s="30">
        <v>3</v>
      </c>
      <c r="DW18" s="33">
        <v>1</v>
      </c>
      <c r="DX18" s="30" t="s">
        <v>497</v>
      </c>
      <c r="DY18" s="30" t="s">
        <v>497</v>
      </c>
      <c r="DZ18" s="30">
        <v>10</v>
      </c>
      <c r="EA18" s="30">
        <v>10</v>
      </c>
      <c r="EB18" s="30">
        <v>20</v>
      </c>
      <c r="EC18" s="30">
        <v>25</v>
      </c>
      <c r="ED18" s="30">
        <v>20</v>
      </c>
      <c r="EE18" s="30">
        <v>10</v>
      </c>
      <c r="EF18" s="33">
        <v>18.75</v>
      </c>
      <c r="EG18" s="30">
        <v>15</v>
      </c>
      <c r="EH18" s="30">
        <v>10</v>
      </c>
      <c r="EI18" s="30">
        <v>10</v>
      </c>
      <c r="EJ18" s="30">
        <v>20</v>
      </c>
      <c r="EK18" s="30">
        <v>25</v>
      </c>
      <c r="EL18" s="30">
        <v>20</v>
      </c>
      <c r="EM18" s="30">
        <v>10</v>
      </c>
      <c r="EN18" s="30">
        <v>40</v>
      </c>
      <c r="EO18" s="30" t="s">
        <v>277</v>
      </c>
      <c r="EP18" s="30" t="s">
        <v>277</v>
      </c>
      <c r="EQ18" s="30" t="s">
        <v>277</v>
      </c>
      <c r="ER18" s="30" t="s">
        <v>277</v>
      </c>
      <c r="ES18" s="30" t="s">
        <v>277</v>
      </c>
      <c r="ET18" s="30" t="s">
        <v>277</v>
      </c>
      <c r="EU18" s="30" t="s">
        <v>277</v>
      </c>
      <c r="EV18" s="33">
        <v>18.75</v>
      </c>
      <c r="EW18" s="33">
        <v>21</v>
      </c>
      <c r="EX18" s="33">
        <v>11.666666666666666</v>
      </c>
      <c r="EY18" s="33">
        <v>22.5</v>
      </c>
      <c r="EZ18" s="33">
        <v>23.333333333333332</v>
      </c>
      <c r="FA18" s="33">
        <v>18.75</v>
      </c>
      <c r="FB18" s="30">
        <v>3</v>
      </c>
      <c r="FC18" s="33">
        <v>0</v>
      </c>
      <c r="FD18" s="30" t="s">
        <v>497</v>
      </c>
      <c r="FE18" s="30" t="s">
        <v>497</v>
      </c>
      <c r="FF18" s="30" t="s">
        <v>824</v>
      </c>
      <c r="FG18" s="30"/>
      <c r="FH18" s="30"/>
      <c r="FI18" s="32">
        <v>44755</v>
      </c>
      <c r="FJ18" s="30">
        <f t="shared" si="6"/>
        <v>174</v>
      </c>
      <c r="FK18" s="30"/>
      <c r="FL18" s="30">
        <v>25</v>
      </c>
      <c r="FM18" s="30">
        <v>25</v>
      </c>
      <c r="FN18" s="30">
        <v>25</v>
      </c>
      <c r="FO18" s="30">
        <v>35</v>
      </c>
      <c r="FP18" s="30">
        <v>35</v>
      </c>
      <c r="FQ18" s="30">
        <v>25</v>
      </c>
      <c r="FR18" s="33">
        <v>27.5</v>
      </c>
      <c r="FS18" s="30">
        <v>30</v>
      </c>
      <c r="FT18" s="30">
        <v>25</v>
      </c>
      <c r="FU18" s="30">
        <v>25</v>
      </c>
      <c r="FV18" s="30">
        <v>25</v>
      </c>
      <c r="FW18" s="30">
        <v>35</v>
      </c>
      <c r="FX18" s="30">
        <v>35</v>
      </c>
      <c r="FY18" s="30">
        <v>25</v>
      </c>
      <c r="FZ18" s="30">
        <v>70</v>
      </c>
      <c r="GA18" s="30"/>
      <c r="GB18" s="30"/>
      <c r="GC18" s="30"/>
      <c r="GD18" s="30"/>
      <c r="GE18" s="30"/>
      <c r="GF18" s="30"/>
      <c r="GG18" s="30"/>
      <c r="GH18" s="33">
        <v>27.5</v>
      </c>
      <c r="GI18" s="33">
        <v>36</v>
      </c>
      <c r="GJ18" s="33">
        <v>26.666666666666668</v>
      </c>
      <c r="GK18" s="33">
        <v>30</v>
      </c>
      <c r="GL18" s="33">
        <v>43.333333333333336</v>
      </c>
      <c r="GM18" s="33">
        <v>30</v>
      </c>
      <c r="GN18" s="30">
        <v>3</v>
      </c>
      <c r="GO18" s="33">
        <v>1</v>
      </c>
      <c r="GP18" s="30" t="s">
        <v>497</v>
      </c>
      <c r="GQ18" s="30" t="s">
        <v>497</v>
      </c>
      <c r="GR18" s="30">
        <v>15</v>
      </c>
      <c r="GS18" s="30">
        <v>15</v>
      </c>
      <c r="GT18" s="30">
        <v>25</v>
      </c>
      <c r="GU18" s="30">
        <v>30</v>
      </c>
      <c r="GV18" s="30">
        <v>30</v>
      </c>
      <c r="GW18" s="30">
        <v>15</v>
      </c>
      <c r="GX18" s="30">
        <v>23.75</v>
      </c>
      <c r="GY18" s="30">
        <v>15</v>
      </c>
      <c r="GZ18" s="30">
        <v>15</v>
      </c>
      <c r="HA18" s="30">
        <v>15</v>
      </c>
      <c r="HB18" s="30">
        <v>25</v>
      </c>
      <c r="HC18" s="30">
        <v>30</v>
      </c>
      <c r="HD18" s="30">
        <v>30</v>
      </c>
      <c r="HE18" s="30">
        <v>15</v>
      </c>
      <c r="HF18" s="30">
        <v>50</v>
      </c>
      <c r="HG18" s="30"/>
      <c r="HH18" s="30"/>
      <c r="HI18" s="30"/>
      <c r="HJ18" s="30"/>
      <c r="HK18" s="30"/>
      <c r="HL18" s="30"/>
      <c r="HM18" s="30"/>
      <c r="HN18" s="30">
        <v>23.75</v>
      </c>
      <c r="HO18" s="30">
        <v>27</v>
      </c>
      <c r="HP18" s="30">
        <v>15</v>
      </c>
      <c r="HQ18" s="30">
        <v>27.5</v>
      </c>
      <c r="HR18" s="30">
        <v>31.666666666666668</v>
      </c>
      <c r="HS18" s="30">
        <v>25</v>
      </c>
      <c r="HT18" s="30"/>
      <c r="HU18" s="30">
        <v>3</v>
      </c>
      <c r="HV18" s="30">
        <v>1</v>
      </c>
      <c r="HW18" s="30" t="s">
        <v>497</v>
      </c>
      <c r="HX18" s="30" t="s">
        <v>497</v>
      </c>
      <c r="HY18" s="30" t="s">
        <v>825</v>
      </c>
      <c r="HZ18" s="30"/>
      <c r="IA18" s="30"/>
      <c r="IB18" s="32">
        <v>44942</v>
      </c>
      <c r="IC18" s="84">
        <f t="shared" si="7"/>
        <v>361</v>
      </c>
      <c r="ID18" s="30"/>
      <c r="IE18" s="30">
        <v>25</v>
      </c>
      <c r="IF18" s="30">
        <v>25</v>
      </c>
      <c r="IG18" s="30">
        <v>20</v>
      </c>
      <c r="IH18" s="30">
        <v>30</v>
      </c>
      <c r="II18" s="30">
        <v>30</v>
      </c>
      <c r="IJ18" s="30">
        <v>30</v>
      </c>
      <c r="IK18" s="30">
        <v>23.75</v>
      </c>
      <c r="IL18" s="30">
        <v>30</v>
      </c>
      <c r="IM18" s="30">
        <v>25</v>
      </c>
      <c r="IN18" s="30">
        <v>25</v>
      </c>
      <c r="IO18" s="30">
        <v>20</v>
      </c>
      <c r="IP18" s="30">
        <v>30</v>
      </c>
      <c r="IQ18" s="30">
        <v>30</v>
      </c>
      <c r="IR18" s="30">
        <v>30</v>
      </c>
      <c r="IS18" s="30">
        <v>65</v>
      </c>
      <c r="IT18" s="30"/>
      <c r="IU18" s="30"/>
      <c r="IV18" s="30"/>
      <c r="IW18" s="30"/>
      <c r="IX18" s="30"/>
      <c r="IY18" s="30"/>
      <c r="IZ18" s="30"/>
      <c r="JA18" s="30">
        <v>23.75</v>
      </c>
      <c r="JB18" s="30">
        <v>34</v>
      </c>
      <c r="JC18" s="30">
        <v>26.666666666666668</v>
      </c>
      <c r="JD18" s="30">
        <v>25</v>
      </c>
      <c r="JE18" s="30">
        <v>41.666666666666664</v>
      </c>
      <c r="JF18" s="30">
        <v>26.25</v>
      </c>
      <c r="JG18" s="30">
        <v>3</v>
      </c>
      <c r="JH18" s="30">
        <v>1</v>
      </c>
      <c r="JI18" s="30" t="s">
        <v>497</v>
      </c>
      <c r="JJ18" s="30" t="s">
        <v>497</v>
      </c>
      <c r="JK18" s="30">
        <v>25</v>
      </c>
      <c r="JL18" s="30">
        <v>25</v>
      </c>
      <c r="JM18" s="30">
        <v>30</v>
      </c>
      <c r="JN18" s="30">
        <v>30</v>
      </c>
      <c r="JO18" s="30">
        <v>30</v>
      </c>
      <c r="JP18" s="30">
        <v>10</v>
      </c>
      <c r="JQ18" s="30">
        <v>28.75</v>
      </c>
      <c r="JR18" s="30">
        <v>30</v>
      </c>
      <c r="JS18" s="30">
        <v>30</v>
      </c>
      <c r="JT18" s="30">
        <v>25</v>
      </c>
      <c r="JU18" s="30">
        <v>35</v>
      </c>
      <c r="JV18" s="30">
        <v>35</v>
      </c>
      <c r="JW18" s="30">
        <v>30</v>
      </c>
      <c r="JX18" s="30">
        <v>10</v>
      </c>
      <c r="JY18" s="30">
        <v>70</v>
      </c>
      <c r="JZ18" s="30"/>
      <c r="KA18" s="30"/>
      <c r="KB18" s="30"/>
      <c r="KC18" s="30"/>
      <c r="KD18" s="30"/>
      <c r="KE18" s="30"/>
      <c r="KF18" s="30"/>
      <c r="KG18" s="30">
        <v>32.5</v>
      </c>
      <c r="KH18" s="30">
        <v>35</v>
      </c>
      <c r="KI18" s="30">
        <v>28.333333333333332</v>
      </c>
      <c r="KJ18" s="30">
        <v>35</v>
      </c>
      <c r="KK18" s="30">
        <v>36.666666666666664</v>
      </c>
      <c r="KL18" s="30">
        <v>31.25</v>
      </c>
      <c r="KM18" s="30">
        <v>3</v>
      </c>
      <c r="KN18" s="30">
        <v>1</v>
      </c>
      <c r="KO18" s="30" t="s">
        <v>497</v>
      </c>
      <c r="KP18" s="30" t="s">
        <v>497</v>
      </c>
      <c r="KQ18" s="30" t="s">
        <v>826</v>
      </c>
      <c r="KR18" s="30"/>
    </row>
    <row r="19" spans="1:305" hidden="1">
      <c r="A19" s="1" t="s">
        <v>882</v>
      </c>
      <c r="B19" s="91">
        <v>58</v>
      </c>
      <c r="C19" s="95" t="str">
        <f>LOOKUP(B19,{0,20,30,40,50,60},{"10","20","30","40","50","60","70","80","90"})</f>
        <v>50</v>
      </c>
      <c r="D19" s="91" t="s">
        <v>888</v>
      </c>
      <c r="E19" t="s">
        <v>986</v>
      </c>
      <c r="F19" s="99">
        <v>44580</v>
      </c>
      <c r="G19" s="100"/>
      <c r="H19" s="95" t="s">
        <v>115</v>
      </c>
      <c r="I19" s="90">
        <v>44607</v>
      </c>
      <c r="J19" s="1"/>
      <c r="K19" s="91" t="s">
        <v>728</v>
      </c>
      <c r="L19" s="100"/>
      <c r="M19" s="100"/>
      <c r="N19" s="100"/>
      <c r="O19" s="99">
        <v>44606</v>
      </c>
      <c r="P19" s="99"/>
      <c r="Q19" s="99"/>
      <c r="R19" s="99"/>
      <c r="S19" s="92">
        <v>44692</v>
      </c>
      <c r="T19" s="92">
        <v>44783</v>
      </c>
      <c r="U19" s="92"/>
      <c r="V19" s="92"/>
      <c r="W19" s="92"/>
      <c r="X19" s="92">
        <v>44965</v>
      </c>
      <c r="Y19" s="92">
        <v>44606</v>
      </c>
      <c r="Z19" s="30">
        <f t="shared" si="4"/>
        <v>-1</v>
      </c>
      <c r="AA19" s="30"/>
      <c r="AB19" s="30">
        <v>5</v>
      </c>
      <c r="AC19" s="30">
        <v>20</v>
      </c>
      <c r="AD19" s="30">
        <v>15</v>
      </c>
      <c r="AE19" s="30">
        <v>30</v>
      </c>
      <c r="AF19" s="30">
        <v>30</v>
      </c>
      <c r="AG19" s="30">
        <v>30</v>
      </c>
      <c r="AH19" s="33">
        <v>20</v>
      </c>
      <c r="AI19" s="30">
        <v>45</v>
      </c>
      <c r="AJ19" s="30">
        <v>40</v>
      </c>
      <c r="AK19" s="30">
        <v>35</v>
      </c>
      <c r="AL19" s="30">
        <v>30</v>
      </c>
      <c r="AM19" s="30">
        <v>30</v>
      </c>
      <c r="AN19" s="30">
        <v>30</v>
      </c>
      <c r="AO19" s="30">
        <v>30</v>
      </c>
      <c r="AP19" s="30">
        <v>35</v>
      </c>
      <c r="AQ19" s="31" t="s">
        <v>234</v>
      </c>
      <c r="AR19" s="31" t="s">
        <v>234</v>
      </c>
      <c r="AS19" s="31" t="s">
        <v>234</v>
      </c>
      <c r="AT19" s="31" t="s">
        <v>234</v>
      </c>
      <c r="AU19" s="31" t="s">
        <v>234</v>
      </c>
      <c r="AV19" s="31" t="s">
        <v>234</v>
      </c>
      <c r="AW19" s="31" t="s">
        <v>234</v>
      </c>
      <c r="AX19" s="33">
        <v>31.25</v>
      </c>
      <c r="AY19" s="33">
        <v>32</v>
      </c>
      <c r="AZ19" s="33">
        <v>40</v>
      </c>
      <c r="BA19" s="33">
        <v>30</v>
      </c>
      <c r="BB19" s="33">
        <v>31.666666666666668</v>
      </c>
      <c r="BC19" s="33">
        <v>31.25</v>
      </c>
      <c r="BD19" s="34">
        <v>1</v>
      </c>
      <c r="BE19" s="33">
        <v>1</v>
      </c>
      <c r="BF19" s="30">
        <v>40</v>
      </c>
      <c r="BG19" s="30">
        <v>100</v>
      </c>
      <c r="BH19" s="30">
        <v>10</v>
      </c>
      <c r="BI19" s="30">
        <v>10</v>
      </c>
      <c r="BJ19" s="30">
        <v>10</v>
      </c>
      <c r="BK19" s="30">
        <v>35</v>
      </c>
      <c r="BL19" s="30">
        <v>35</v>
      </c>
      <c r="BM19" s="30">
        <v>30</v>
      </c>
      <c r="BN19" s="33">
        <v>16.25</v>
      </c>
      <c r="BO19" s="30">
        <v>30</v>
      </c>
      <c r="BP19" s="30">
        <v>20</v>
      </c>
      <c r="BQ19" s="30">
        <v>15</v>
      </c>
      <c r="BR19" s="30">
        <v>20</v>
      </c>
      <c r="BS19" s="30">
        <v>35</v>
      </c>
      <c r="BT19" s="30">
        <v>35</v>
      </c>
      <c r="BU19" s="30">
        <v>40</v>
      </c>
      <c r="BV19" s="30">
        <v>70</v>
      </c>
      <c r="BW19" s="31" t="s">
        <v>234</v>
      </c>
      <c r="BX19" s="31" t="s">
        <v>234</v>
      </c>
      <c r="BY19" s="31" t="s">
        <v>234</v>
      </c>
      <c r="BZ19" s="31" t="s">
        <v>234</v>
      </c>
      <c r="CA19" s="31" t="s">
        <v>234</v>
      </c>
      <c r="CB19" s="31" t="s">
        <v>234</v>
      </c>
      <c r="CC19" s="31" t="s">
        <v>234</v>
      </c>
      <c r="CD19" s="33">
        <v>22.5</v>
      </c>
      <c r="CE19" s="33">
        <v>36</v>
      </c>
      <c r="CF19" s="33">
        <v>21.666666666666668</v>
      </c>
      <c r="CG19" s="33">
        <v>27.5</v>
      </c>
      <c r="CH19" s="33">
        <v>48.333333333333336</v>
      </c>
      <c r="CI19" s="33">
        <v>26.25</v>
      </c>
      <c r="CJ19" s="30">
        <v>3</v>
      </c>
      <c r="CK19" s="33">
        <v>1</v>
      </c>
      <c r="CL19" s="30">
        <v>30</v>
      </c>
      <c r="CM19" s="30">
        <v>100</v>
      </c>
      <c r="CN19" s="31" t="s">
        <v>827</v>
      </c>
      <c r="CO19" s="31" t="s">
        <v>828</v>
      </c>
      <c r="CP19" s="30"/>
      <c r="CQ19" s="32">
        <v>44692</v>
      </c>
      <c r="CR19" s="30">
        <f t="shared" si="5"/>
        <v>85</v>
      </c>
      <c r="CS19" s="30"/>
      <c r="CT19" s="30">
        <v>20</v>
      </c>
      <c r="CU19" s="30">
        <v>35</v>
      </c>
      <c r="CV19" s="30">
        <v>20</v>
      </c>
      <c r="CW19" s="30">
        <v>25</v>
      </c>
      <c r="CX19" s="30">
        <v>25</v>
      </c>
      <c r="CY19" s="30">
        <v>30</v>
      </c>
      <c r="CZ19" s="33">
        <v>25</v>
      </c>
      <c r="DA19" s="30">
        <v>40</v>
      </c>
      <c r="DB19" s="30">
        <v>35</v>
      </c>
      <c r="DC19" s="30">
        <v>35</v>
      </c>
      <c r="DD19" s="30">
        <v>30</v>
      </c>
      <c r="DE19" s="30">
        <v>25</v>
      </c>
      <c r="DF19" s="30">
        <v>25</v>
      </c>
      <c r="DG19" s="30">
        <v>30</v>
      </c>
      <c r="DH19" s="30">
        <v>45</v>
      </c>
      <c r="DI19" s="30"/>
      <c r="DJ19" s="30"/>
      <c r="DK19" s="30"/>
      <c r="DL19" s="30"/>
      <c r="DM19" s="30"/>
      <c r="DN19" s="30"/>
      <c r="DO19" s="30"/>
      <c r="DP19" s="33">
        <v>30</v>
      </c>
      <c r="DQ19" s="33">
        <v>33</v>
      </c>
      <c r="DR19" s="33">
        <v>36.666666666666664</v>
      </c>
      <c r="DS19" s="33">
        <v>27.5</v>
      </c>
      <c r="DT19" s="33">
        <v>33.333333333333336</v>
      </c>
      <c r="DU19" s="33">
        <v>28.75</v>
      </c>
      <c r="DV19" s="30" t="s">
        <v>235</v>
      </c>
      <c r="DW19" s="33">
        <v>1</v>
      </c>
      <c r="DX19" s="30">
        <v>30</v>
      </c>
      <c r="DY19" s="30">
        <v>100</v>
      </c>
      <c r="DZ19" s="30">
        <v>15</v>
      </c>
      <c r="EA19" s="30">
        <v>15</v>
      </c>
      <c r="EB19" s="30">
        <v>20</v>
      </c>
      <c r="EC19" s="30">
        <v>35</v>
      </c>
      <c r="ED19" s="30">
        <v>35</v>
      </c>
      <c r="EE19" s="30">
        <v>30</v>
      </c>
      <c r="EF19" s="33">
        <v>22.5</v>
      </c>
      <c r="EG19" s="30">
        <v>20</v>
      </c>
      <c r="EH19" s="30">
        <v>20</v>
      </c>
      <c r="EI19" s="30">
        <v>15</v>
      </c>
      <c r="EJ19" s="30">
        <v>20</v>
      </c>
      <c r="EK19" s="30">
        <v>35</v>
      </c>
      <c r="EL19" s="30">
        <v>40</v>
      </c>
      <c r="EM19" s="30">
        <v>45</v>
      </c>
      <c r="EN19" s="30">
        <v>75</v>
      </c>
      <c r="EO19" s="30" t="s">
        <v>277</v>
      </c>
      <c r="EP19" s="30" t="s">
        <v>277</v>
      </c>
      <c r="EQ19" s="30" t="s">
        <v>277</v>
      </c>
      <c r="ER19" s="30" t="s">
        <v>277</v>
      </c>
      <c r="ES19" s="30" t="s">
        <v>277</v>
      </c>
      <c r="ET19" s="30" t="s">
        <v>277</v>
      </c>
      <c r="EU19" s="30" t="s">
        <v>277</v>
      </c>
      <c r="EV19" s="33">
        <v>22.5</v>
      </c>
      <c r="EW19" s="33">
        <v>38</v>
      </c>
      <c r="EX19" s="33">
        <v>18.333333333333332</v>
      </c>
      <c r="EY19" s="33">
        <v>27.5</v>
      </c>
      <c r="EZ19" s="33">
        <v>53.333333333333336</v>
      </c>
      <c r="FA19" s="33">
        <v>27.5</v>
      </c>
      <c r="FB19" s="30">
        <v>3</v>
      </c>
      <c r="FC19" s="33">
        <v>1</v>
      </c>
      <c r="FD19" s="30">
        <v>30</v>
      </c>
      <c r="FE19" s="30">
        <v>100</v>
      </c>
      <c r="FF19" s="30" t="s">
        <v>829</v>
      </c>
      <c r="FG19" s="30" t="s">
        <v>830</v>
      </c>
      <c r="FH19" s="30"/>
      <c r="FI19" s="32">
        <v>44783</v>
      </c>
      <c r="FJ19" s="30">
        <f t="shared" si="6"/>
        <v>176</v>
      </c>
      <c r="FK19" s="30"/>
      <c r="FL19" s="30">
        <v>15</v>
      </c>
      <c r="FM19" s="30">
        <v>35</v>
      </c>
      <c r="FN19" s="30">
        <v>25</v>
      </c>
      <c r="FO19" s="30">
        <v>30</v>
      </c>
      <c r="FP19" s="30">
        <v>30</v>
      </c>
      <c r="FQ19" s="30">
        <v>30</v>
      </c>
      <c r="FR19" s="33">
        <v>28.75</v>
      </c>
      <c r="FS19" s="30">
        <v>45</v>
      </c>
      <c r="FT19" s="30">
        <v>40</v>
      </c>
      <c r="FU19" s="30">
        <v>35</v>
      </c>
      <c r="FV19" s="30">
        <v>25</v>
      </c>
      <c r="FW19" s="30">
        <v>30</v>
      </c>
      <c r="FX19" s="30">
        <v>30</v>
      </c>
      <c r="FY19" s="30">
        <v>35</v>
      </c>
      <c r="FZ19" s="30">
        <v>55</v>
      </c>
      <c r="GA19" s="30"/>
      <c r="GB19" s="30"/>
      <c r="GC19" s="30"/>
      <c r="GD19" s="30"/>
      <c r="GE19" s="30"/>
      <c r="GF19" s="30"/>
      <c r="GG19" s="30"/>
      <c r="GH19" s="33">
        <v>28.75</v>
      </c>
      <c r="GI19" s="33">
        <v>36</v>
      </c>
      <c r="GJ19" s="33">
        <v>40</v>
      </c>
      <c r="GK19" s="33">
        <v>27.5</v>
      </c>
      <c r="GL19" s="33">
        <v>40</v>
      </c>
      <c r="GM19" s="33">
        <v>30</v>
      </c>
      <c r="GN19" s="30" t="s">
        <v>235</v>
      </c>
      <c r="GO19" s="33">
        <v>1</v>
      </c>
      <c r="GP19" s="30">
        <v>40</v>
      </c>
      <c r="GQ19" s="30">
        <v>100</v>
      </c>
      <c r="GR19" s="30">
        <v>15</v>
      </c>
      <c r="GS19" s="30">
        <v>15</v>
      </c>
      <c r="GT19" s="30">
        <v>20</v>
      </c>
      <c r="GU19" s="30">
        <v>40</v>
      </c>
      <c r="GV19" s="30">
        <v>40</v>
      </c>
      <c r="GW19" s="30">
        <v>35</v>
      </c>
      <c r="GX19" s="30">
        <v>23.75</v>
      </c>
      <c r="GY19" s="30">
        <v>20</v>
      </c>
      <c r="GZ19" s="30">
        <v>20</v>
      </c>
      <c r="HA19" s="30">
        <v>15</v>
      </c>
      <c r="HB19" s="30">
        <v>20</v>
      </c>
      <c r="HC19" s="30">
        <v>40</v>
      </c>
      <c r="HD19" s="30">
        <v>40</v>
      </c>
      <c r="HE19" s="30">
        <v>40</v>
      </c>
      <c r="HF19" s="30">
        <v>65</v>
      </c>
      <c r="HG19" s="30"/>
      <c r="HH19" s="30"/>
      <c r="HI19" s="30"/>
      <c r="HJ19" s="30"/>
      <c r="HK19" s="30"/>
      <c r="HL19" s="30"/>
      <c r="HM19" s="30"/>
      <c r="HN19" s="30">
        <v>23.75</v>
      </c>
      <c r="HO19" s="30">
        <v>36</v>
      </c>
      <c r="HP19" s="30">
        <v>18.333333333333332</v>
      </c>
      <c r="HQ19" s="30">
        <v>30</v>
      </c>
      <c r="HR19" s="30">
        <v>48.333333333333336</v>
      </c>
      <c r="HS19" s="30">
        <v>28.75</v>
      </c>
      <c r="HT19" s="30">
        <f>HS19-CI19</f>
        <v>2.5</v>
      </c>
      <c r="HU19" s="30">
        <v>3</v>
      </c>
      <c r="HV19" s="30">
        <v>1</v>
      </c>
      <c r="HW19" s="30">
        <v>35</v>
      </c>
      <c r="HX19" s="30">
        <v>100</v>
      </c>
      <c r="HY19" s="30" t="s">
        <v>831</v>
      </c>
      <c r="HZ19" s="30" t="s">
        <v>832</v>
      </c>
      <c r="IA19" s="30"/>
      <c r="IB19" s="32">
        <v>44965</v>
      </c>
      <c r="IC19" s="84">
        <f t="shared" si="7"/>
        <v>358</v>
      </c>
      <c r="ID19" s="30"/>
      <c r="IE19" s="30">
        <v>5</v>
      </c>
      <c r="IF19" s="30">
        <v>25</v>
      </c>
      <c r="IG19" s="30">
        <v>20</v>
      </c>
      <c r="IH19" s="30">
        <v>20</v>
      </c>
      <c r="II19" s="30">
        <v>20</v>
      </c>
      <c r="IJ19" s="30">
        <v>25</v>
      </c>
      <c r="IK19" s="30">
        <v>21.25</v>
      </c>
      <c r="IL19" s="30">
        <v>35</v>
      </c>
      <c r="IM19" s="30">
        <v>35</v>
      </c>
      <c r="IN19" s="30">
        <v>30</v>
      </c>
      <c r="IO19" s="30">
        <v>30</v>
      </c>
      <c r="IP19" s="30">
        <v>20</v>
      </c>
      <c r="IQ19" s="30">
        <v>25</v>
      </c>
      <c r="IR19" s="30">
        <v>20</v>
      </c>
      <c r="IS19" s="30">
        <v>45</v>
      </c>
      <c r="IT19" s="30"/>
      <c r="IU19" s="30"/>
      <c r="IV19" s="30"/>
      <c r="IW19" s="30"/>
      <c r="IX19" s="30"/>
      <c r="IY19" s="30"/>
      <c r="IZ19" s="30"/>
      <c r="JA19" s="30">
        <v>27.5</v>
      </c>
      <c r="JB19" s="30">
        <v>29</v>
      </c>
      <c r="JC19" s="30">
        <v>33.333333333333336</v>
      </c>
      <c r="JD19" s="30">
        <v>25</v>
      </c>
      <c r="JE19" s="30">
        <v>30</v>
      </c>
      <c r="JF19" s="30">
        <v>26.25</v>
      </c>
      <c r="JG19" s="30" t="s">
        <v>235</v>
      </c>
      <c r="JH19" s="30">
        <v>1</v>
      </c>
      <c r="JI19" s="30">
        <v>30</v>
      </c>
      <c r="JJ19" s="30">
        <v>100</v>
      </c>
      <c r="JK19" s="30">
        <v>10</v>
      </c>
      <c r="JL19" s="30">
        <v>20</v>
      </c>
      <c r="JM19" s="30">
        <v>20</v>
      </c>
      <c r="JN19" s="30">
        <v>30</v>
      </c>
      <c r="JO19" s="30">
        <v>35</v>
      </c>
      <c r="JP19" s="30">
        <v>35</v>
      </c>
      <c r="JQ19" s="30">
        <v>22.5</v>
      </c>
      <c r="JR19" s="30">
        <v>25</v>
      </c>
      <c r="JS19" s="30">
        <v>20</v>
      </c>
      <c r="JT19" s="30">
        <v>20</v>
      </c>
      <c r="JU19" s="30">
        <v>20</v>
      </c>
      <c r="JV19" s="30">
        <v>30</v>
      </c>
      <c r="JW19" s="30">
        <v>35</v>
      </c>
      <c r="JX19" s="30">
        <v>40</v>
      </c>
      <c r="JY19" s="30">
        <v>80</v>
      </c>
      <c r="JZ19" s="30" t="s">
        <v>277</v>
      </c>
      <c r="KA19" s="30" t="s">
        <v>277</v>
      </c>
      <c r="KB19" s="30" t="s">
        <v>277</v>
      </c>
      <c r="KC19" s="30" t="s">
        <v>277</v>
      </c>
      <c r="KD19" s="30" t="s">
        <v>277</v>
      </c>
      <c r="KE19" s="30" t="s">
        <v>277</v>
      </c>
      <c r="KF19" s="30" t="s">
        <v>277</v>
      </c>
      <c r="KG19" s="30">
        <v>22.5</v>
      </c>
      <c r="KH19" s="30">
        <v>38</v>
      </c>
      <c r="KI19" s="30">
        <v>21.666666666666668</v>
      </c>
      <c r="KJ19" s="30">
        <v>25</v>
      </c>
      <c r="KK19" s="30">
        <v>51.666666666666664</v>
      </c>
      <c r="KL19" s="30">
        <v>26.25</v>
      </c>
      <c r="KM19" s="30">
        <v>3</v>
      </c>
      <c r="KN19" s="30">
        <v>1</v>
      </c>
      <c r="KO19" s="30">
        <v>30</v>
      </c>
      <c r="KP19" s="30">
        <v>100</v>
      </c>
      <c r="KQ19" s="30" t="s">
        <v>833</v>
      </c>
      <c r="KR19" s="30" t="s">
        <v>834</v>
      </c>
    </row>
    <row r="20" spans="1:305" hidden="1">
      <c r="A20" s="1" t="s">
        <v>883</v>
      </c>
      <c r="B20" s="91">
        <v>61</v>
      </c>
      <c r="C20" s="95" t="str">
        <f>LOOKUP(B20,{0,20,30,40,50,60},{"10","20","30","40","50","60","70","80","90"})</f>
        <v>60</v>
      </c>
      <c r="D20" s="91" t="s">
        <v>889</v>
      </c>
      <c r="E20" s="1"/>
      <c r="F20" s="99">
        <v>44616</v>
      </c>
      <c r="G20" s="100"/>
      <c r="H20" s="95" t="s">
        <v>115</v>
      </c>
      <c r="I20" s="90">
        <v>44637</v>
      </c>
      <c r="J20" s="1"/>
      <c r="K20" s="91" t="s">
        <v>728</v>
      </c>
      <c r="L20" s="100"/>
      <c r="M20" s="100"/>
      <c r="N20" s="100"/>
      <c r="O20" s="99">
        <v>44636</v>
      </c>
      <c r="P20" s="99"/>
      <c r="Q20" s="99"/>
      <c r="R20" s="99"/>
      <c r="S20" s="92">
        <v>44734</v>
      </c>
      <c r="T20" s="92">
        <v>44832</v>
      </c>
      <c r="U20" s="92"/>
      <c r="V20" s="92"/>
      <c r="W20" s="92"/>
      <c r="X20" s="92">
        <v>44991</v>
      </c>
      <c r="Y20" s="92">
        <v>44636</v>
      </c>
      <c r="Z20" s="30">
        <f t="shared" si="4"/>
        <v>-1</v>
      </c>
      <c r="AA20" s="30"/>
      <c r="AB20" s="30">
        <v>30</v>
      </c>
      <c r="AC20" s="30">
        <v>35</v>
      </c>
      <c r="AD20" s="30">
        <v>25</v>
      </c>
      <c r="AE20" s="30">
        <v>15</v>
      </c>
      <c r="AF20" s="30">
        <v>25</v>
      </c>
      <c r="AG20" s="30">
        <v>40</v>
      </c>
      <c r="AH20" s="33">
        <v>25</v>
      </c>
      <c r="AI20" s="30">
        <v>60</v>
      </c>
      <c r="AJ20" s="30">
        <v>65</v>
      </c>
      <c r="AK20" s="30">
        <v>50</v>
      </c>
      <c r="AL20" s="30">
        <v>40</v>
      </c>
      <c r="AM20" s="30">
        <v>15</v>
      </c>
      <c r="AN20" s="30">
        <v>55</v>
      </c>
      <c r="AO20" s="30">
        <v>75</v>
      </c>
      <c r="AP20" s="30">
        <v>100</v>
      </c>
      <c r="AQ20" s="31" t="s">
        <v>234</v>
      </c>
      <c r="AR20" s="31" t="s">
        <v>234</v>
      </c>
      <c r="AS20" s="31" t="s">
        <v>234</v>
      </c>
      <c r="AT20" s="31" t="s">
        <v>234</v>
      </c>
      <c r="AU20" s="31" t="s">
        <v>234</v>
      </c>
      <c r="AV20" s="31" t="s">
        <v>234</v>
      </c>
      <c r="AW20" s="31" t="s">
        <v>234</v>
      </c>
      <c r="AX20" s="33">
        <v>36.25</v>
      </c>
      <c r="AY20" s="33">
        <v>56</v>
      </c>
      <c r="AZ20" s="33">
        <v>58.333333333333336</v>
      </c>
      <c r="BA20" s="33">
        <v>27.5</v>
      </c>
      <c r="BB20" s="33">
        <v>76.666666666666671</v>
      </c>
      <c r="BC20" s="33">
        <v>40</v>
      </c>
      <c r="BD20" s="34" t="s">
        <v>235</v>
      </c>
      <c r="BE20" s="33">
        <v>1</v>
      </c>
      <c r="BF20" s="30">
        <v>40</v>
      </c>
      <c r="BG20" s="30">
        <v>85</v>
      </c>
      <c r="BH20" s="30">
        <v>40</v>
      </c>
      <c r="BI20" s="30">
        <v>45</v>
      </c>
      <c r="BJ20" s="30">
        <v>40</v>
      </c>
      <c r="BK20" s="30">
        <v>60</v>
      </c>
      <c r="BL20" s="30">
        <v>60</v>
      </c>
      <c r="BM20" s="30">
        <v>60</v>
      </c>
      <c r="BN20" s="33">
        <v>46.25</v>
      </c>
      <c r="BO20" s="47">
        <v>85</v>
      </c>
      <c r="BP20" s="30">
        <v>90</v>
      </c>
      <c r="BQ20" s="30">
        <v>70</v>
      </c>
      <c r="BR20" s="30">
        <v>55</v>
      </c>
      <c r="BS20" s="30">
        <v>70</v>
      </c>
      <c r="BT20" s="30">
        <v>80</v>
      </c>
      <c r="BU20" s="30">
        <v>80</v>
      </c>
      <c r="BV20" s="47">
        <v>100</v>
      </c>
      <c r="BW20" s="31" t="s">
        <v>234</v>
      </c>
      <c r="BX20" s="31" t="s">
        <v>234</v>
      </c>
      <c r="BY20" s="31" t="s">
        <v>234</v>
      </c>
      <c r="BZ20" s="31" t="s">
        <v>234</v>
      </c>
      <c r="CA20" s="31" t="s">
        <v>234</v>
      </c>
      <c r="CB20" s="31" t="s">
        <v>234</v>
      </c>
      <c r="CC20" s="31" t="s">
        <v>234</v>
      </c>
      <c r="CD20" s="33">
        <v>62.5</v>
      </c>
      <c r="CE20" s="33">
        <v>75</v>
      </c>
      <c r="CF20" s="33">
        <v>81.666666666666671</v>
      </c>
      <c r="CG20" s="33">
        <v>62.5</v>
      </c>
      <c r="CH20" s="33">
        <v>86.666666666666671</v>
      </c>
      <c r="CI20" s="33">
        <v>68.75</v>
      </c>
      <c r="CJ20" s="31" t="s">
        <v>235</v>
      </c>
      <c r="CK20" s="33">
        <v>3</v>
      </c>
      <c r="CL20" s="30">
        <v>65</v>
      </c>
      <c r="CM20" s="30">
        <v>75</v>
      </c>
      <c r="CN20" s="30"/>
      <c r="CO20" s="30"/>
      <c r="CP20" s="31" t="s">
        <v>835</v>
      </c>
      <c r="CQ20" s="32">
        <v>44734</v>
      </c>
      <c r="CR20" s="30">
        <f t="shared" si="5"/>
        <v>97</v>
      </c>
      <c r="CS20" s="30"/>
      <c r="CT20" s="30">
        <v>40</v>
      </c>
      <c r="CU20" s="30">
        <v>40</v>
      </c>
      <c r="CV20" s="30">
        <v>30</v>
      </c>
      <c r="CW20" s="30">
        <v>15</v>
      </c>
      <c r="CX20" s="30">
        <v>45</v>
      </c>
      <c r="CY20" s="30">
        <v>45</v>
      </c>
      <c r="CZ20" s="33">
        <v>28.75</v>
      </c>
      <c r="DA20" s="30">
        <v>55</v>
      </c>
      <c r="DB20" s="30">
        <v>60</v>
      </c>
      <c r="DC20" s="30">
        <v>50</v>
      </c>
      <c r="DD20" s="30">
        <v>35</v>
      </c>
      <c r="DE20" s="30">
        <v>15</v>
      </c>
      <c r="DF20" s="30">
        <v>55</v>
      </c>
      <c r="DG20" s="30">
        <v>75</v>
      </c>
      <c r="DH20" s="30">
        <v>95</v>
      </c>
      <c r="DI20" s="30"/>
      <c r="DJ20" s="30"/>
      <c r="DK20" s="30"/>
      <c r="DL20" s="30"/>
      <c r="DM20" s="30"/>
      <c r="DN20" s="30"/>
      <c r="DO20" s="30"/>
      <c r="DP20" s="33">
        <v>33.75</v>
      </c>
      <c r="DQ20" s="33">
        <v>54</v>
      </c>
      <c r="DR20" s="33">
        <v>55</v>
      </c>
      <c r="DS20" s="33">
        <v>25</v>
      </c>
      <c r="DT20" s="33">
        <v>75</v>
      </c>
      <c r="DU20" s="33">
        <v>38.75</v>
      </c>
      <c r="DV20" s="30" t="s">
        <v>235</v>
      </c>
      <c r="DW20" s="33">
        <v>1</v>
      </c>
      <c r="DX20" s="30">
        <v>45</v>
      </c>
      <c r="DY20" s="30">
        <v>100</v>
      </c>
      <c r="DZ20" s="30">
        <v>45</v>
      </c>
      <c r="EA20" s="30">
        <v>55</v>
      </c>
      <c r="EB20" s="30">
        <v>50</v>
      </c>
      <c r="EC20" s="30">
        <v>75</v>
      </c>
      <c r="ED20" s="30">
        <v>65</v>
      </c>
      <c r="EE20" s="30">
        <v>50</v>
      </c>
      <c r="EF20" s="33">
        <v>57.5</v>
      </c>
      <c r="EG20" s="30">
        <v>65</v>
      </c>
      <c r="EH20" s="30">
        <v>75</v>
      </c>
      <c r="EI20" s="30">
        <v>70</v>
      </c>
      <c r="EJ20" s="30">
        <v>75</v>
      </c>
      <c r="EK20" s="30">
        <v>75</v>
      </c>
      <c r="EL20" s="30">
        <v>80</v>
      </c>
      <c r="EM20" s="30">
        <v>80</v>
      </c>
      <c r="EN20" s="30">
        <v>95</v>
      </c>
      <c r="EO20" s="30" t="s">
        <v>277</v>
      </c>
      <c r="EP20" s="30" t="s">
        <v>277</v>
      </c>
      <c r="EQ20" s="30" t="s">
        <v>277</v>
      </c>
      <c r="ER20" s="30" t="s">
        <v>277</v>
      </c>
      <c r="ES20" s="30" t="s">
        <v>277</v>
      </c>
      <c r="ET20" s="30" t="s">
        <v>277</v>
      </c>
      <c r="EU20" s="30" t="s">
        <v>277</v>
      </c>
      <c r="EV20" s="33">
        <v>73.75</v>
      </c>
      <c r="EW20" s="33">
        <v>79</v>
      </c>
      <c r="EX20" s="33">
        <v>70</v>
      </c>
      <c r="EY20" s="33">
        <v>75</v>
      </c>
      <c r="EZ20" s="33">
        <v>85</v>
      </c>
      <c r="FA20" s="33">
        <v>75</v>
      </c>
      <c r="FB20" s="30">
        <v>3</v>
      </c>
      <c r="FC20" s="33">
        <v>3</v>
      </c>
      <c r="FD20" s="30">
        <v>90</v>
      </c>
      <c r="FE20" s="30">
        <v>16</v>
      </c>
      <c r="FF20" s="30" t="s">
        <v>836</v>
      </c>
      <c r="FG20" s="30" t="s">
        <v>837</v>
      </c>
      <c r="FH20" s="30"/>
      <c r="FI20" s="32">
        <v>44832</v>
      </c>
      <c r="FJ20" s="30">
        <f t="shared" si="6"/>
        <v>195</v>
      </c>
      <c r="FK20" s="30"/>
      <c r="FL20" s="30">
        <v>55</v>
      </c>
      <c r="FM20" s="30">
        <v>55</v>
      </c>
      <c r="FN20" s="30">
        <v>40</v>
      </c>
      <c r="FO20" s="30">
        <v>25</v>
      </c>
      <c r="FP20" s="30">
        <v>50</v>
      </c>
      <c r="FQ20" s="30">
        <v>65</v>
      </c>
      <c r="FR20" s="33">
        <v>40</v>
      </c>
      <c r="FS20" s="30">
        <v>65</v>
      </c>
      <c r="FT20" s="30">
        <v>70</v>
      </c>
      <c r="FU20" s="30">
        <v>55</v>
      </c>
      <c r="FV20" s="30">
        <v>40</v>
      </c>
      <c r="FW20" s="30">
        <v>25</v>
      </c>
      <c r="FX20" s="30">
        <v>55</v>
      </c>
      <c r="FY20" s="30">
        <v>70</v>
      </c>
      <c r="FZ20" s="30">
        <v>100</v>
      </c>
      <c r="GA20" s="30"/>
      <c r="GB20" s="30"/>
      <c r="GC20" s="30"/>
      <c r="GD20" s="30"/>
      <c r="GE20" s="30"/>
      <c r="GF20" s="30"/>
      <c r="GG20" s="30"/>
      <c r="GH20" s="33">
        <v>40</v>
      </c>
      <c r="GI20" s="33">
        <v>58</v>
      </c>
      <c r="GJ20" s="33">
        <v>63.333333333333336</v>
      </c>
      <c r="GK20" s="33">
        <v>32.5</v>
      </c>
      <c r="GL20" s="33">
        <v>75</v>
      </c>
      <c r="GM20" s="33">
        <v>43.75</v>
      </c>
      <c r="GN20" s="30" t="s">
        <v>235</v>
      </c>
      <c r="GO20" s="33">
        <v>2</v>
      </c>
      <c r="GP20" s="30">
        <v>40</v>
      </c>
      <c r="GQ20" s="30">
        <v>95</v>
      </c>
      <c r="GR20" s="30">
        <v>35</v>
      </c>
      <c r="GS20" s="30">
        <v>50</v>
      </c>
      <c r="GT20" s="30">
        <v>55</v>
      </c>
      <c r="GU20" s="30">
        <v>60</v>
      </c>
      <c r="GV20" s="30">
        <v>60</v>
      </c>
      <c r="GW20" s="30">
        <v>55</v>
      </c>
      <c r="GX20" s="30">
        <v>55</v>
      </c>
      <c r="GY20" s="30">
        <v>65</v>
      </c>
      <c r="GZ20" s="30">
        <v>75</v>
      </c>
      <c r="HA20" s="30">
        <v>70</v>
      </c>
      <c r="HB20" s="30">
        <v>75</v>
      </c>
      <c r="HC20" s="30">
        <v>65</v>
      </c>
      <c r="HD20" s="30">
        <v>70</v>
      </c>
      <c r="HE20" s="30">
        <v>70</v>
      </c>
      <c r="HF20" s="30">
        <v>75</v>
      </c>
      <c r="HG20" s="30"/>
      <c r="HH20" s="30"/>
      <c r="HI20" s="30"/>
      <c r="HJ20" s="30"/>
      <c r="HK20" s="30"/>
      <c r="HL20" s="30"/>
      <c r="HM20" s="30"/>
      <c r="HN20" s="30">
        <v>71.25</v>
      </c>
      <c r="HO20" s="30">
        <v>71</v>
      </c>
      <c r="HP20" s="30">
        <v>70</v>
      </c>
      <c r="HQ20" s="30">
        <v>70</v>
      </c>
      <c r="HR20" s="30">
        <v>71.666666666666671</v>
      </c>
      <c r="HS20" s="30">
        <v>70</v>
      </c>
      <c r="HT20" s="30">
        <f>HS20-CI20</f>
        <v>1.25</v>
      </c>
      <c r="HU20" s="30">
        <v>4</v>
      </c>
      <c r="HV20" s="30">
        <v>3</v>
      </c>
      <c r="HW20" s="30">
        <v>75</v>
      </c>
      <c r="HX20" s="30">
        <v>75</v>
      </c>
      <c r="HY20" s="30"/>
      <c r="HZ20" s="30"/>
      <c r="IA20" s="30" t="s">
        <v>838</v>
      </c>
      <c r="IB20" s="32">
        <v>44963</v>
      </c>
      <c r="IC20" s="84">
        <f t="shared" si="7"/>
        <v>326</v>
      </c>
      <c r="ID20" s="30"/>
      <c r="IE20" s="30">
        <v>55</v>
      </c>
      <c r="IF20" s="30">
        <v>50</v>
      </c>
      <c r="IG20" s="30">
        <v>40</v>
      </c>
      <c r="IH20" s="30">
        <v>25</v>
      </c>
      <c r="II20" s="30">
        <v>55</v>
      </c>
      <c r="IJ20" s="30">
        <v>65</v>
      </c>
      <c r="IK20" s="30">
        <v>38.75</v>
      </c>
      <c r="IL20" s="30">
        <v>65</v>
      </c>
      <c r="IM20" s="30">
        <v>70</v>
      </c>
      <c r="IN20" s="30">
        <v>50</v>
      </c>
      <c r="IO20" s="30">
        <v>40</v>
      </c>
      <c r="IP20" s="30">
        <v>25</v>
      </c>
      <c r="IQ20" s="30">
        <v>55</v>
      </c>
      <c r="IR20" s="30">
        <v>70</v>
      </c>
      <c r="IS20" s="30">
        <v>95</v>
      </c>
      <c r="IT20" s="30"/>
      <c r="IU20" s="30"/>
      <c r="IV20" s="30"/>
      <c r="IW20" s="30"/>
      <c r="IX20" s="30"/>
      <c r="IY20" s="30"/>
      <c r="IZ20" s="30"/>
      <c r="JA20" s="30">
        <v>38.75</v>
      </c>
      <c r="JB20" s="30">
        <v>56</v>
      </c>
      <c r="JC20" s="30">
        <v>61.666666666666664</v>
      </c>
      <c r="JD20" s="30">
        <v>32.5</v>
      </c>
      <c r="JE20" s="30">
        <v>73.333333333333329</v>
      </c>
      <c r="JF20" s="30">
        <v>42.5</v>
      </c>
      <c r="JG20" s="30" t="s">
        <v>235</v>
      </c>
      <c r="JH20" s="30">
        <v>2</v>
      </c>
      <c r="JI20" s="30">
        <v>40</v>
      </c>
      <c r="JJ20" s="30">
        <v>90</v>
      </c>
      <c r="JK20" s="30">
        <v>40</v>
      </c>
      <c r="JL20" s="30">
        <v>50</v>
      </c>
      <c r="JM20" s="30">
        <v>45</v>
      </c>
      <c r="JN20" s="30">
        <v>60</v>
      </c>
      <c r="JO20" s="30">
        <v>60</v>
      </c>
      <c r="JP20" s="30">
        <v>55</v>
      </c>
      <c r="JQ20" s="30">
        <v>50</v>
      </c>
      <c r="JR20" s="30">
        <v>75</v>
      </c>
      <c r="JS20" s="30">
        <v>80</v>
      </c>
      <c r="JT20" s="30">
        <v>70</v>
      </c>
      <c r="JU20" s="30">
        <v>75</v>
      </c>
      <c r="JV20" s="30">
        <v>60</v>
      </c>
      <c r="JW20" s="30">
        <v>75</v>
      </c>
      <c r="JX20" s="30">
        <v>70</v>
      </c>
      <c r="JY20" s="30">
        <v>80</v>
      </c>
      <c r="JZ20" s="30" t="s">
        <v>277</v>
      </c>
      <c r="KA20" s="30" t="s">
        <v>277</v>
      </c>
      <c r="KB20" s="30" t="s">
        <v>277</v>
      </c>
      <c r="KC20" s="30" t="s">
        <v>277</v>
      </c>
      <c r="KD20" s="30" t="s">
        <v>277</v>
      </c>
      <c r="KE20" s="30" t="s">
        <v>277</v>
      </c>
      <c r="KF20" s="30" t="s">
        <v>277</v>
      </c>
      <c r="KG20" s="30">
        <v>70</v>
      </c>
      <c r="KH20" s="30">
        <v>71</v>
      </c>
      <c r="KI20" s="30">
        <v>75</v>
      </c>
      <c r="KJ20" s="30">
        <v>67.5</v>
      </c>
      <c r="KK20" s="30">
        <v>75</v>
      </c>
      <c r="KL20" s="30">
        <v>70</v>
      </c>
      <c r="KM20" s="30">
        <v>4</v>
      </c>
      <c r="KN20" s="30">
        <v>3</v>
      </c>
      <c r="KO20" s="30">
        <v>75</v>
      </c>
      <c r="KP20" s="30">
        <v>85</v>
      </c>
      <c r="KQ20" s="30"/>
      <c r="KR20" s="30"/>
    </row>
    <row r="21" spans="1:305" hidden="1">
      <c r="A21" s="1" t="s">
        <v>884</v>
      </c>
      <c r="B21" s="91">
        <v>26</v>
      </c>
      <c r="C21" s="95" t="str">
        <f>LOOKUP(B21,{0,20,30,40,50,60},{"10","20","30","40","50","60","70","80","90"})</f>
        <v>20</v>
      </c>
      <c r="D21" s="91" t="s">
        <v>888</v>
      </c>
      <c r="E21" s="1"/>
      <c r="F21" s="99">
        <v>44648</v>
      </c>
      <c r="G21" s="100"/>
      <c r="H21" s="95" t="s">
        <v>115</v>
      </c>
      <c r="I21" s="90">
        <v>44658</v>
      </c>
      <c r="J21" s="1"/>
      <c r="K21" s="91" t="s">
        <v>727</v>
      </c>
      <c r="L21" s="100"/>
      <c r="M21" s="100"/>
      <c r="N21" s="100"/>
      <c r="O21" s="99">
        <v>44657</v>
      </c>
      <c r="P21" s="99"/>
      <c r="Q21" s="99"/>
      <c r="R21" s="99"/>
      <c r="S21" s="92">
        <v>44790</v>
      </c>
      <c r="T21" s="92">
        <v>44858</v>
      </c>
      <c r="U21" s="92"/>
      <c r="V21" s="92"/>
      <c r="W21" s="92"/>
      <c r="X21" s="92">
        <v>45042</v>
      </c>
      <c r="Y21" s="92">
        <v>44644</v>
      </c>
      <c r="Z21" s="30">
        <f t="shared" si="4"/>
        <v>-14</v>
      </c>
      <c r="AA21" s="30"/>
      <c r="AB21" s="30">
        <v>0</v>
      </c>
      <c r="AC21" s="30">
        <v>0</v>
      </c>
      <c r="AD21" s="30">
        <v>0</v>
      </c>
      <c r="AE21" s="30">
        <v>5</v>
      </c>
      <c r="AF21" s="30">
        <v>10</v>
      </c>
      <c r="AG21" s="30">
        <v>0</v>
      </c>
      <c r="AH21" s="33">
        <v>1.25</v>
      </c>
      <c r="AI21" s="30">
        <v>35</v>
      </c>
      <c r="AJ21" s="30">
        <v>35</v>
      </c>
      <c r="AK21" s="30">
        <v>25</v>
      </c>
      <c r="AL21" s="30">
        <v>20</v>
      </c>
      <c r="AM21" s="30">
        <v>15</v>
      </c>
      <c r="AN21" s="30">
        <v>15</v>
      </c>
      <c r="AO21" s="30">
        <v>25</v>
      </c>
      <c r="AP21" s="30">
        <v>35</v>
      </c>
      <c r="AQ21" s="30">
        <v>30</v>
      </c>
      <c r="AR21" s="30">
        <v>30</v>
      </c>
      <c r="AS21" s="30">
        <v>40</v>
      </c>
      <c r="AT21" s="47">
        <v>65</v>
      </c>
      <c r="AU21" s="30">
        <v>40</v>
      </c>
      <c r="AV21" s="47">
        <v>20</v>
      </c>
      <c r="AW21" s="43">
        <v>0</v>
      </c>
      <c r="AX21" s="33">
        <v>20</v>
      </c>
      <c r="AY21" s="33">
        <v>24</v>
      </c>
      <c r="AZ21" s="33">
        <v>31.666666666666668</v>
      </c>
      <c r="BA21" s="33">
        <v>17.5</v>
      </c>
      <c r="BB21" s="33">
        <v>25</v>
      </c>
      <c r="BC21" s="33">
        <v>18.75</v>
      </c>
      <c r="BD21" s="34" t="s">
        <v>235</v>
      </c>
      <c r="BE21" s="33">
        <v>0</v>
      </c>
      <c r="BF21" s="30">
        <v>25</v>
      </c>
      <c r="BG21" s="30">
        <v>100</v>
      </c>
      <c r="BH21" s="30">
        <v>5</v>
      </c>
      <c r="BI21" s="30">
        <v>5</v>
      </c>
      <c r="BJ21" s="30">
        <v>0</v>
      </c>
      <c r="BK21" s="30">
        <v>5</v>
      </c>
      <c r="BL21" s="30">
        <v>5</v>
      </c>
      <c r="BM21" s="30">
        <v>0</v>
      </c>
      <c r="BN21" s="33">
        <v>2.5</v>
      </c>
      <c r="BO21" s="30">
        <v>5</v>
      </c>
      <c r="BP21" s="30">
        <v>5</v>
      </c>
      <c r="BQ21" s="30">
        <v>5</v>
      </c>
      <c r="BR21" s="30">
        <v>0</v>
      </c>
      <c r="BS21" s="30">
        <v>5</v>
      </c>
      <c r="BT21" s="30">
        <v>5</v>
      </c>
      <c r="BU21" s="30">
        <v>5</v>
      </c>
      <c r="BV21" s="30">
        <v>20</v>
      </c>
      <c r="BW21" s="30">
        <v>15</v>
      </c>
      <c r="BX21" s="30">
        <v>30</v>
      </c>
      <c r="BY21" s="30">
        <v>45</v>
      </c>
      <c r="BZ21" s="30">
        <v>50</v>
      </c>
      <c r="CA21" s="31" t="s">
        <v>234</v>
      </c>
      <c r="CB21" s="31" t="s">
        <v>234</v>
      </c>
      <c r="CC21" s="31" t="s">
        <v>234</v>
      </c>
      <c r="CD21" s="33">
        <v>2.5</v>
      </c>
      <c r="CE21" s="33">
        <v>7</v>
      </c>
      <c r="CF21" s="33">
        <v>5</v>
      </c>
      <c r="CG21" s="33">
        <v>2.5</v>
      </c>
      <c r="CH21" s="33">
        <v>10</v>
      </c>
      <c r="CI21" s="33">
        <v>3.75</v>
      </c>
      <c r="CJ21" s="30">
        <v>3</v>
      </c>
      <c r="CK21" s="33">
        <v>0</v>
      </c>
      <c r="CL21" s="30">
        <v>15</v>
      </c>
      <c r="CM21" s="30">
        <v>100</v>
      </c>
      <c r="CN21" s="31" t="s">
        <v>839</v>
      </c>
      <c r="CO21" s="31" t="s">
        <v>840</v>
      </c>
      <c r="CP21" s="30"/>
      <c r="CQ21" s="32">
        <v>44741</v>
      </c>
      <c r="CR21" s="30">
        <f t="shared" si="5"/>
        <v>83</v>
      </c>
      <c r="CS21" s="30"/>
      <c r="CT21" s="30">
        <v>10</v>
      </c>
      <c r="CU21" s="30">
        <v>20</v>
      </c>
      <c r="CV21" s="30">
        <v>5</v>
      </c>
      <c r="CW21" s="30">
        <v>15</v>
      </c>
      <c r="CX21" s="30">
        <v>0</v>
      </c>
      <c r="CY21" s="30">
        <v>0</v>
      </c>
      <c r="CZ21" s="33">
        <v>11.25</v>
      </c>
      <c r="DA21" s="30">
        <v>15</v>
      </c>
      <c r="DB21" s="30">
        <v>15</v>
      </c>
      <c r="DC21" s="30">
        <v>20</v>
      </c>
      <c r="DD21" s="30">
        <v>15</v>
      </c>
      <c r="DE21" s="30">
        <v>15</v>
      </c>
      <c r="DF21" s="30">
        <v>10</v>
      </c>
      <c r="DG21" s="30">
        <v>15</v>
      </c>
      <c r="DH21" s="30">
        <v>30</v>
      </c>
      <c r="DI21" s="30"/>
      <c r="DJ21" s="30"/>
      <c r="DK21" s="30"/>
      <c r="DL21" s="30"/>
      <c r="DM21" s="30"/>
      <c r="DN21" s="30"/>
      <c r="DO21" s="30"/>
      <c r="DP21" s="33">
        <v>16.25</v>
      </c>
      <c r="DQ21" s="33">
        <v>19</v>
      </c>
      <c r="DR21" s="33">
        <v>16.666666666666668</v>
      </c>
      <c r="DS21" s="33">
        <v>15</v>
      </c>
      <c r="DT21" s="33">
        <v>18.333333333333332</v>
      </c>
      <c r="DU21" s="33">
        <v>15</v>
      </c>
      <c r="DV21" s="30">
        <v>4</v>
      </c>
      <c r="DW21" s="33">
        <v>0</v>
      </c>
      <c r="DX21" s="30">
        <v>20</v>
      </c>
      <c r="DY21" s="30">
        <v>100</v>
      </c>
      <c r="DZ21" s="30">
        <v>0</v>
      </c>
      <c r="EA21" s="30">
        <v>10</v>
      </c>
      <c r="EB21" s="30">
        <v>10</v>
      </c>
      <c r="EC21" s="30">
        <v>5</v>
      </c>
      <c r="ED21" s="30">
        <v>0</v>
      </c>
      <c r="EE21" s="30">
        <v>5</v>
      </c>
      <c r="EF21" s="33">
        <v>8.75</v>
      </c>
      <c r="EG21" s="30">
        <v>10</v>
      </c>
      <c r="EH21" s="30">
        <v>0</v>
      </c>
      <c r="EI21" s="30">
        <v>10</v>
      </c>
      <c r="EJ21" s="30">
        <v>10</v>
      </c>
      <c r="EK21" s="30">
        <v>5</v>
      </c>
      <c r="EL21" s="30">
        <v>0</v>
      </c>
      <c r="EM21" s="30">
        <v>5</v>
      </c>
      <c r="EN21" s="30">
        <v>20</v>
      </c>
      <c r="EO21" s="30" t="s">
        <v>277</v>
      </c>
      <c r="EP21" s="30" t="s">
        <v>277</v>
      </c>
      <c r="EQ21" s="30" t="s">
        <v>277</v>
      </c>
      <c r="ER21" s="30" t="s">
        <v>277</v>
      </c>
      <c r="ES21" s="30" t="s">
        <v>277</v>
      </c>
      <c r="ET21" s="30" t="s">
        <v>277</v>
      </c>
      <c r="EU21" s="30" t="s">
        <v>277</v>
      </c>
      <c r="EV21" s="33">
        <v>8.75</v>
      </c>
      <c r="EW21" s="33">
        <v>10</v>
      </c>
      <c r="EX21" s="33">
        <v>6.666666666666667</v>
      </c>
      <c r="EY21" s="33">
        <v>7.5</v>
      </c>
      <c r="EZ21" s="33">
        <v>8.3333333333333339</v>
      </c>
      <c r="FA21" s="33">
        <v>6.25</v>
      </c>
      <c r="FB21" s="30">
        <v>4</v>
      </c>
      <c r="FC21" s="33">
        <v>0</v>
      </c>
      <c r="FD21" s="30">
        <v>10</v>
      </c>
      <c r="FE21" s="30">
        <v>100</v>
      </c>
      <c r="FF21" s="30" t="s">
        <v>841</v>
      </c>
      <c r="FG21" s="30" t="s">
        <v>842</v>
      </c>
      <c r="FH21" s="30"/>
      <c r="FI21" s="32">
        <v>44858</v>
      </c>
      <c r="FJ21" s="30">
        <f t="shared" si="6"/>
        <v>200</v>
      </c>
      <c r="FK21" s="30"/>
      <c r="FL21" s="30">
        <v>10</v>
      </c>
      <c r="FM21" s="30">
        <v>5</v>
      </c>
      <c r="FN21" s="30">
        <v>10</v>
      </c>
      <c r="FO21" s="30">
        <v>5</v>
      </c>
      <c r="FP21" s="30">
        <v>5</v>
      </c>
      <c r="FQ21" s="30">
        <v>5</v>
      </c>
      <c r="FR21" s="33">
        <v>7.5</v>
      </c>
      <c r="FS21" s="30">
        <v>10</v>
      </c>
      <c r="FT21" s="30">
        <v>10</v>
      </c>
      <c r="FU21" s="30">
        <v>15</v>
      </c>
      <c r="FV21" s="30">
        <v>10</v>
      </c>
      <c r="FW21" s="30">
        <v>5</v>
      </c>
      <c r="FX21" s="30">
        <v>5</v>
      </c>
      <c r="FY21" s="30">
        <v>5</v>
      </c>
      <c r="FZ21" s="30">
        <v>30</v>
      </c>
      <c r="GA21" s="30"/>
      <c r="GB21" s="30"/>
      <c r="GC21" s="30"/>
      <c r="GD21" s="30"/>
      <c r="GE21" s="30"/>
      <c r="GF21" s="30"/>
      <c r="GG21" s="30"/>
      <c r="GH21" s="33">
        <v>10</v>
      </c>
      <c r="GI21" s="33">
        <v>13</v>
      </c>
      <c r="GJ21" s="33">
        <v>11.666666666666666</v>
      </c>
      <c r="GK21" s="33">
        <v>7.5</v>
      </c>
      <c r="GL21" s="33">
        <v>13.333333333333334</v>
      </c>
      <c r="GM21" s="33">
        <v>8.75</v>
      </c>
      <c r="GN21" s="30">
        <v>3</v>
      </c>
      <c r="GO21" s="33">
        <v>0</v>
      </c>
      <c r="GP21" s="30">
        <v>15</v>
      </c>
      <c r="GQ21" s="30">
        <v>100</v>
      </c>
      <c r="GR21" s="30">
        <v>15</v>
      </c>
      <c r="GS21" s="30">
        <v>10</v>
      </c>
      <c r="GT21" s="30">
        <v>5</v>
      </c>
      <c r="GU21" s="30">
        <v>5</v>
      </c>
      <c r="GV21" s="30">
        <v>10</v>
      </c>
      <c r="GW21" s="30">
        <v>0</v>
      </c>
      <c r="GX21" s="30">
        <v>6.25</v>
      </c>
      <c r="GY21" s="30">
        <v>25</v>
      </c>
      <c r="GZ21" s="30">
        <v>15</v>
      </c>
      <c r="HA21" s="30">
        <v>10</v>
      </c>
      <c r="HB21" s="30">
        <v>5</v>
      </c>
      <c r="HC21" s="30">
        <v>5</v>
      </c>
      <c r="HD21" s="30">
        <v>10</v>
      </c>
      <c r="HE21" s="30">
        <v>0</v>
      </c>
      <c r="HF21" s="30">
        <v>20</v>
      </c>
      <c r="HG21" s="30"/>
      <c r="HH21" s="30"/>
      <c r="HI21" s="30"/>
      <c r="HJ21" s="30"/>
      <c r="HK21" s="30"/>
      <c r="HL21" s="30"/>
      <c r="HM21" s="30"/>
      <c r="HN21" s="30">
        <v>6.25</v>
      </c>
      <c r="HO21" s="30">
        <v>8</v>
      </c>
      <c r="HP21" s="30">
        <v>16.666666666666668</v>
      </c>
      <c r="HQ21" s="30">
        <v>5</v>
      </c>
      <c r="HR21" s="30">
        <v>10</v>
      </c>
      <c r="HS21" s="30">
        <v>7.5</v>
      </c>
      <c r="HT21" s="30"/>
      <c r="HU21" s="30">
        <v>1</v>
      </c>
      <c r="HV21" s="30">
        <v>0</v>
      </c>
      <c r="HW21" s="30">
        <v>15</v>
      </c>
      <c r="HX21" s="30">
        <v>100</v>
      </c>
      <c r="HY21" s="30" t="s">
        <v>843</v>
      </c>
      <c r="HZ21" s="30" t="s">
        <v>844</v>
      </c>
      <c r="IA21" s="30"/>
      <c r="IB21" s="32">
        <v>45042</v>
      </c>
      <c r="IC21" s="84">
        <f t="shared" si="7"/>
        <v>384</v>
      </c>
      <c r="ID21" s="30"/>
      <c r="IE21" s="30">
        <v>10</v>
      </c>
      <c r="IF21" s="30">
        <v>15</v>
      </c>
      <c r="IG21" s="30">
        <v>10</v>
      </c>
      <c r="IH21" s="30">
        <v>5</v>
      </c>
      <c r="II21" s="30">
        <v>5</v>
      </c>
      <c r="IJ21" s="30">
        <v>10</v>
      </c>
      <c r="IK21" s="30">
        <v>10</v>
      </c>
      <c r="IL21" s="30">
        <v>10</v>
      </c>
      <c r="IM21" s="30">
        <v>10</v>
      </c>
      <c r="IN21" s="30">
        <v>15</v>
      </c>
      <c r="IO21" s="30">
        <v>10</v>
      </c>
      <c r="IP21" s="30">
        <v>5</v>
      </c>
      <c r="IQ21" s="30">
        <v>5</v>
      </c>
      <c r="IR21" s="30">
        <v>10</v>
      </c>
      <c r="IS21" s="30">
        <v>30</v>
      </c>
      <c r="IT21" s="30"/>
      <c r="IU21" s="30"/>
      <c r="IV21" s="30"/>
      <c r="IW21" s="30"/>
      <c r="IX21" s="30"/>
      <c r="IY21" s="30"/>
      <c r="IZ21" s="30"/>
      <c r="JA21" s="30">
        <v>10</v>
      </c>
      <c r="JB21" s="30">
        <v>14</v>
      </c>
      <c r="JC21" s="30">
        <v>11.666666666666666</v>
      </c>
      <c r="JD21" s="30">
        <v>7.5</v>
      </c>
      <c r="JE21" s="30">
        <v>15</v>
      </c>
      <c r="JF21" s="30">
        <v>8.75</v>
      </c>
      <c r="JG21" s="30">
        <v>3</v>
      </c>
      <c r="JH21" s="30">
        <v>0</v>
      </c>
      <c r="JI21" s="30">
        <v>20</v>
      </c>
      <c r="JJ21" s="30">
        <v>100</v>
      </c>
      <c r="JK21" s="30">
        <v>20</v>
      </c>
      <c r="JL21" s="30">
        <v>10</v>
      </c>
      <c r="JM21" s="30">
        <v>0</v>
      </c>
      <c r="JN21" s="30">
        <v>0</v>
      </c>
      <c r="JO21" s="30">
        <v>5</v>
      </c>
      <c r="JP21" s="30">
        <v>0</v>
      </c>
      <c r="JQ21" s="30">
        <v>2.5</v>
      </c>
      <c r="JR21" s="30">
        <v>20</v>
      </c>
      <c r="JS21" s="30">
        <v>20</v>
      </c>
      <c r="JT21" s="30">
        <v>10</v>
      </c>
      <c r="JU21" s="30">
        <v>0</v>
      </c>
      <c r="JV21" s="30">
        <v>0</v>
      </c>
      <c r="JW21" s="30">
        <v>5</v>
      </c>
      <c r="JX21" s="30">
        <v>0</v>
      </c>
      <c r="JY21" s="30">
        <v>30</v>
      </c>
      <c r="JZ21" s="30" t="s">
        <v>277</v>
      </c>
      <c r="KA21" s="30" t="s">
        <v>277</v>
      </c>
      <c r="KB21" s="30" t="s">
        <v>277</v>
      </c>
      <c r="KC21" s="30" t="s">
        <v>277</v>
      </c>
      <c r="KD21" s="30" t="s">
        <v>277</v>
      </c>
      <c r="KE21" s="30" t="s">
        <v>277</v>
      </c>
      <c r="KF21" s="30" t="s">
        <v>277</v>
      </c>
      <c r="KG21" s="30">
        <v>2.5</v>
      </c>
      <c r="KH21" s="30">
        <v>8</v>
      </c>
      <c r="KI21" s="30">
        <v>16.666666666666668</v>
      </c>
      <c r="KJ21" s="30">
        <v>0</v>
      </c>
      <c r="KK21" s="30">
        <v>11.666666666666666</v>
      </c>
      <c r="KL21" s="30">
        <v>3.75</v>
      </c>
      <c r="KM21" s="30" t="s">
        <v>235</v>
      </c>
      <c r="KN21" s="30">
        <v>0</v>
      </c>
      <c r="KO21" s="30">
        <v>15</v>
      </c>
      <c r="KP21" s="30">
        <v>100</v>
      </c>
      <c r="KQ21" s="30" t="s">
        <v>845</v>
      </c>
      <c r="KR21" s="30" t="s">
        <v>846</v>
      </c>
    </row>
    <row r="22" spans="1:305" hidden="1">
      <c r="A22" s="1" t="s">
        <v>885</v>
      </c>
      <c r="B22" s="91">
        <v>67</v>
      </c>
      <c r="C22" s="95" t="str">
        <f>LOOKUP(B22,{0,20,30,40,50,60},{"10","20","30","40","50","60","70","80","90"})</f>
        <v>60</v>
      </c>
      <c r="D22" s="91" t="s">
        <v>889</v>
      </c>
      <c r="E22" s="1"/>
      <c r="F22" s="99">
        <v>44620</v>
      </c>
      <c r="G22" s="100"/>
      <c r="H22" s="95" t="s">
        <v>115</v>
      </c>
      <c r="I22" s="90">
        <v>44658</v>
      </c>
      <c r="J22" s="1"/>
      <c r="K22" s="91" t="s">
        <v>729</v>
      </c>
      <c r="L22" s="100"/>
      <c r="M22" s="100"/>
      <c r="N22" s="100"/>
      <c r="O22" s="99">
        <v>44657</v>
      </c>
      <c r="P22" s="99"/>
      <c r="Q22" s="99"/>
      <c r="R22" s="99"/>
      <c r="S22" s="92">
        <v>44748</v>
      </c>
      <c r="T22" s="92">
        <v>44874</v>
      </c>
      <c r="U22" s="92"/>
      <c r="V22" s="92"/>
      <c r="W22" s="92"/>
      <c r="X22" s="92">
        <v>45056</v>
      </c>
      <c r="Y22" s="92">
        <v>44657</v>
      </c>
      <c r="Z22" s="30">
        <f t="shared" si="4"/>
        <v>-1</v>
      </c>
      <c r="AA22" s="30"/>
      <c r="AB22" s="30">
        <v>5</v>
      </c>
      <c r="AC22" s="30">
        <v>10</v>
      </c>
      <c r="AD22" s="30">
        <v>10</v>
      </c>
      <c r="AE22" s="30">
        <v>20</v>
      </c>
      <c r="AF22" s="30">
        <v>20</v>
      </c>
      <c r="AG22" s="30">
        <v>30</v>
      </c>
      <c r="AH22" s="33">
        <v>12.5</v>
      </c>
      <c r="AI22" s="30">
        <v>25</v>
      </c>
      <c r="AJ22" s="30">
        <v>20</v>
      </c>
      <c r="AK22" s="30">
        <v>10</v>
      </c>
      <c r="AL22" s="30">
        <v>10</v>
      </c>
      <c r="AM22" s="30">
        <v>20</v>
      </c>
      <c r="AN22" s="30">
        <v>30</v>
      </c>
      <c r="AO22" s="30">
        <v>45</v>
      </c>
      <c r="AP22" s="30">
        <v>65</v>
      </c>
      <c r="AQ22" s="31" t="s">
        <v>234</v>
      </c>
      <c r="AR22" s="31" t="s">
        <v>234</v>
      </c>
      <c r="AS22" s="31" t="s">
        <v>234</v>
      </c>
      <c r="AT22" s="31" t="s">
        <v>234</v>
      </c>
      <c r="AU22" s="31" t="s">
        <v>234</v>
      </c>
      <c r="AV22" s="31" t="s">
        <v>234</v>
      </c>
      <c r="AW22" s="31" t="s">
        <v>234</v>
      </c>
      <c r="AX22" s="33">
        <v>12.5</v>
      </c>
      <c r="AY22" s="33">
        <v>30</v>
      </c>
      <c r="AZ22" s="33">
        <v>18.333333333333332</v>
      </c>
      <c r="BA22" s="33">
        <v>15</v>
      </c>
      <c r="BB22" s="33">
        <v>46.666666666666664</v>
      </c>
      <c r="BC22" s="33">
        <v>17.5</v>
      </c>
      <c r="BD22" s="34">
        <v>3</v>
      </c>
      <c r="BE22" s="33">
        <v>0</v>
      </c>
      <c r="BF22" s="30">
        <v>25</v>
      </c>
      <c r="BG22" s="30">
        <v>100</v>
      </c>
      <c r="BH22" s="30">
        <v>5</v>
      </c>
      <c r="BI22" s="30">
        <v>15</v>
      </c>
      <c r="BJ22" s="30">
        <v>10</v>
      </c>
      <c r="BK22" s="30">
        <v>20</v>
      </c>
      <c r="BL22" s="30">
        <v>25</v>
      </c>
      <c r="BM22" s="30">
        <v>30</v>
      </c>
      <c r="BN22" s="33">
        <v>13.75</v>
      </c>
      <c r="BO22" s="30">
        <v>40</v>
      </c>
      <c r="BP22" s="30">
        <v>35</v>
      </c>
      <c r="BQ22" s="30">
        <v>15</v>
      </c>
      <c r="BR22" s="30">
        <v>25</v>
      </c>
      <c r="BS22" s="30">
        <v>30</v>
      </c>
      <c r="BT22" s="30">
        <v>40</v>
      </c>
      <c r="BU22" s="30">
        <v>50</v>
      </c>
      <c r="BV22" s="30">
        <v>60</v>
      </c>
      <c r="BW22" s="31" t="s">
        <v>234</v>
      </c>
      <c r="BX22" s="31" t="s">
        <v>234</v>
      </c>
      <c r="BY22" s="31" t="s">
        <v>234</v>
      </c>
      <c r="BZ22" s="31" t="s">
        <v>234</v>
      </c>
      <c r="CA22" s="31" t="s">
        <v>234</v>
      </c>
      <c r="CB22" s="31" t="s">
        <v>234</v>
      </c>
      <c r="CC22" s="31" t="s">
        <v>234</v>
      </c>
      <c r="CD22" s="33">
        <v>23.75</v>
      </c>
      <c r="CE22" s="33">
        <v>36</v>
      </c>
      <c r="CF22" s="33">
        <v>30</v>
      </c>
      <c r="CG22" s="33">
        <v>27.5</v>
      </c>
      <c r="CH22" s="33">
        <v>50</v>
      </c>
      <c r="CI22" s="33">
        <v>27.5</v>
      </c>
      <c r="CJ22" s="30">
        <v>3</v>
      </c>
      <c r="CK22" s="33">
        <v>1</v>
      </c>
      <c r="CL22" s="30">
        <v>35</v>
      </c>
      <c r="CM22" s="30">
        <v>100</v>
      </c>
      <c r="CN22" s="31" t="s">
        <v>847</v>
      </c>
      <c r="CO22" s="31" t="s">
        <v>848</v>
      </c>
      <c r="CP22" s="30"/>
      <c r="CQ22" s="32">
        <v>44748</v>
      </c>
      <c r="CR22" s="30">
        <f t="shared" si="5"/>
        <v>90</v>
      </c>
      <c r="CS22" s="30"/>
      <c r="CT22" s="30">
        <v>5</v>
      </c>
      <c r="CU22" s="30">
        <v>5</v>
      </c>
      <c r="CV22" s="30">
        <v>20</v>
      </c>
      <c r="CW22" s="30">
        <v>20</v>
      </c>
      <c r="CX22" s="30">
        <v>20</v>
      </c>
      <c r="CY22" s="30">
        <v>30</v>
      </c>
      <c r="CZ22" s="33">
        <v>16.25</v>
      </c>
      <c r="DA22" s="30">
        <v>25</v>
      </c>
      <c r="DB22" s="30">
        <v>15</v>
      </c>
      <c r="DC22" s="30">
        <v>5</v>
      </c>
      <c r="DD22" s="30">
        <v>20</v>
      </c>
      <c r="DE22" s="30">
        <v>25</v>
      </c>
      <c r="DF22" s="30">
        <v>30</v>
      </c>
      <c r="DG22" s="30">
        <v>40</v>
      </c>
      <c r="DH22" s="30">
        <v>65</v>
      </c>
      <c r="DI22" s="30"/>
      <c r="DJ22" s="30"/>
      <c r="DK22" s="30"/>
      <c r="DL22" s="30"/>
      <c r="DM22" s="30"/>
      <c r="DN22" s="30"/>
      <c r="DO22" s="30"/>
      <c r="DP22" s="33">
        <v>17.5</v>
      </c>
      <c r="DQ22" s="33">
        <v>31</v>
      </c>
      <c r="DR22" s="33">
        <v>15</v>
      </c>
      <c r="DS22" s="33">
        <v>22.5</v>
      </c>
      <c r="DT22" s="33">
        <v>45</v>
      </c>
      <c r="DU22" s="33">
        <v>20</v>
      </c>
      <c r="DV22" s="30" t="s">
        <v>235</v>
      </c>
      <c r="DW22" s="33">
        <v>0</v>
      </c>
      <c r="DX22" s="30">
        <v>25</v>
      </c>
      <c r="DY22" s="30">
        <v>100</v>
      </c>
      <c r="DZ22" s="30">
        <v>0</v>
      </c>
      <c r="EA22" s="30">
        <v>0</v>
      </c>
      <c r="EB22" s="30">
        <v>5</v>
      </c>
      <c r="EC22" s="30">
        <v>20</v>
      </c>
      <c r="ED22" s="30">
        <v>15</v>
      </c>
      <c r="EE22" s="30">
        <v>25</v>
      </c>
      <c r="EF22" s="33">
        <v>7.5</v>
      </c>
      <c r="EG22" s="30">
        <v>20</v>
      </c>
      <c r="EH22" s="30">
        <v>15</v>
      </c>
      <c r="EI22" s="30">
        <v>15</v>
      </c>
      <c r="EJ22" s="30">
        <v>20</v>
      </c>
      <c r="EK22" s="30">
        <v>20</v>
      </c>
      <c r="EL22" s="30">
        <v>40</v>
      </c>
      <c r="EM22" s="30">
        <v>45</v>
      </c>
      <c r="EN22" s="30">
        <v>75</v>
      </c>
      <c r="EO22" s="30" t="s">
        <v>277</v>
      </c>
      <c r="EP22" s="30" t="s">
        <v>277</v>
      </c>
      <c r="EQ22" s="30" t="s">
        <v>277</v>
      </c>
      <c r="ER22" s="30" t="s">
        <v>277</v>
      </c>
      <c r="ES22" s="30" t="s">
        <v>277</v>
      </c>
      <c r="ET22" s="30" t="s">
        <v>277</v>
      </c>
      <c r="EU22" s="30" t="s">
        <v>277</v>
      </c>
      <c r="EV22" s="33">
        <v>18.75</v>
      </c>
      <c r="EW22" s="33">
        <v>35</v>
      </c>
      <c r="EX22" s="33">
        <v>16.666666666666668</v>
      </c>
      <c r="EY22" s="33">
        <v>20</v>
      </c>
      <c r="EZ22" s="33">
        <v>53.333333333333336</v>
      </c>
      <c r="FA22" s="33">
        <v>23.75</v>
      </c>
      <c r="FB22" s="30">
        <v>3</v>
      </c>
      <c r="FC22" s="33">
        <v>1</v>
      </c>
      <c r="FD22" s="30">
        <v>25</v>
      </c>
      <c r="FE22" s="30">
        <v>100</v>
      </c>
      <c r="FF22" s="30"/>
      <c r="FG22" s="30"/>
      <c r="FH22" s="30" t="s">
        <v>849</v>
      </c>
      <c r="FI22" s="32">
        <v>44874</v>
      </c>
      <c r="FJ22" s="30">
        <f t="shared" si="6"/>
        <v>216</v>
      </c>
      <c r="FK22" s="30"/>
      <c r="FL22" s="30">
        <v>10</v>
      </c>
      <c r="FM22" s="30">
        <v>5</v>
      </c>
      <c r="FN22" s="30">
        <v>20</v>
      </c>
      <c r="FO22" s="30">
        <v>25</v>
      </c>
      <c r="FP22" s="30">
        <v>25</v>
      </c>
      <c r="FQ22" s="30">
        <v>25</v>
      </c>
      <c r="FR22" s="33">
        <v>17.5</v>
      </c>
      <c r="FS22" s="30">
        <v>15</v>
      </c>
      <c r="FT22" s="30">
        <v>10</v>
      </c>
      <c r="FU22" s="30">
        <v>5</v>
      </c>
      <c r="FV22" s="30">
        <v>20</v>
      </c>
      <c r="FW22" s="30">
        <v>25</v>
      </c>
      <c r="FX22" s="30">
        <v>30</v>
      </c>
      <c r="FY22" s="30">
        <v>45</v>
      </c>
      <c r="FZ22" s="30">
        <v>60</v>
      </c>
      <c r="GA22" s="30"/>
      <c r="GB22" s="30"/>
      <c r="GC22" s="30"/>
      <c r="GD22" s="30"/>
      <c r="GE22" s="30"/>
      <c r="GF22" s="30"/>
      <c r="GG22" s="30"/>
      <c r="GH22" s="33">
        <v>17.5</v>
      </c>
      <c r="GI22" s="33">
        <v>31</v>
      </c>
      <c r="GJ22" s="33">
        <v>10</v>
      </c>
      <c r="GK22" s="33">
        <v>22.5</v>
      </c>
      <c r="GL22" s="33">
        <v>45</v>
      </c>
      <c r="GM22" s="33">
        <v>20</v>
      </c>
      <c r="GN22" s="30">
        <v>3</v>
      </c>
      <c r="GO22" s="33">
        <v>0</v>
      </c>
      <c r="GP22" s="30">
        <v>25</v>
      </c>
      <c r="GQ22" s="30">
        <v>100</v>
      </c>
      <c r="GR22" s="30">
        <v>0</v>
      </c>
      <c r="GS22" s="30">
        <v>10</v>
      </c>
      <c r="GT22" s="30">
        <v>15</v>
      </c>
      <c r="GU22" s="30">
        <v>15</v>
      </c>
      <c r="GV22" s="30">
        <v>20</v>
      </c>
      <c r="GW22" s="30">
        <v>25</v>
      </c>
      <c r="GX22" s="30">
        <v>13.75</v>
      </c>
      <c r="GY22" s="30">
        <v>15</v>
      </c>
      <c r="GZ22" s="30">
        <v>10</v>
      </c>
      <c r="HA22" s="30">
        <v>10</v>
      </c>
      <c r="HB22" s="30">
        <v>20</v>
      </c>
      <c r="HC22" s="30">
        <v>15</v>
      </c>
      <c r="HD22" s="30">
        <v>35</v>
      </c>
      <c r="HE22" s="30">
        <v>35</v>
      </c>
      <c r="HF22" s="30">
        <v>65</v>
      </c>
      <c r="HG22" s="30"/>
      <c r="HH22" s="30"/>
      <c r="HI22" s="30"/>
      <c r="HJ22" s="30"/>
      <c r="HK22" s="30"/>
      <c r="HL22" s="30"/>
      <c r="HM22" s="30"/>
      <c r="HN22" s="30">
        <v>16.25</v>
      </c>
      <c r="HO22" s="30">
        <v>29</v>
      </c>
      <c r="HP22" s="30">
        <v>11.666666666666666</v>
      </c>
      <c r="HQ22" s="30">
        <v>17.5</v>
      </c>
      <c r="HR22" s="30">
        <v>45</v>
      </c>
      <c r="HS22" s="30">
        <v>20</v>
      </c>
      <c r="HT22" s="30">
        <f>HS22-CI22</f>
        <v>-7.5</v>
      </c>
      <c r="HU22" s="30">
        <v>3</v>
      </c>
      <c r="HV22" s="30">
        <v>0</v>
      </c>
      <c r="HW22" s="30">
        <v>25</v>
      </c>
      <c r="HX22" s="30">
        <v>100</v>
      </c>
      <c r="HY22" s="30" t="s">
        <v>850</v>
      </c>
      <c r="HZ22" s="30" t="s">
        <v>851</v>
      </c>
      <c r="IA22" s="30"/>
      <c r="IB22" s="32">
        <v>45055</v>
      </c>
      <c r="IC22" s="84">
        <f t="shared" si="7"/>
        <v>397</v>
      </c>
      <c r="ID22" s="30"/>
      <c r="IE22" s="30">
        <v>10</v>
      </c>
      <c r="IF22" s="30">
        <v>5</v>
      </c>
      <c r="IG22" s="30">
        <v>20</v>
      </c>
      <c r="IH22" s="30">
        <v>25</v>
      </c>
      <c r="II22" s="30">
        <v>25</v>
      </c>
      <c r="IJ22" s="30">
        <v>30</v>
      </c>
      <c r="IK22" s="30">
        <v>17.5</v>
      </c>
      <c r="IL22" s="30">
        <v>15</v>
      </c>
      <c r="IM22" s="30">
        <v>10</v>
      </c>
      <c r="IN22" s="30">
        <v>5</v>
      </c>
      <c r="IO22" s="30">
        <v>20</v>
      </c>
      <c r="IP22" s="30">
        <v>25</v>
      </c>
      <c r="IQ22" s="30">
        <v>30</v>
      </c>
      <c r="IR22" s="30">
        <v>50</v>
      </c>
      <c r="IS22" s="30">
        <v>60</v>
      </c>
      <c r="IT22" s="42">
        <v>70</v>
      </c>
      <c r="IU22" s="42">
        <v>85</v>
      </c>
      <c r="IV22" s="42">
        <v>70</v>
      </c>
      <c r="IW22" s="42">
        <v>65</v>
      </c>
      <c r="IX22" s="42">
        <v>50</v>
      </c>
      <c r="IY22" s="42">
        <v>20</v>
      </c>
      <c r="IZ22" s="62">
        <v>0</v>
      </c>
      <c r="JA22" s="30">
        <v>17.5</v>
      </c>
      <c r="JB22" s="30">
        <v>32</v>
      </c>
      <c r="JC22" s="30">
        <v>10</v>
      </c>
      <c r="JD22" s="30">
        <v>22.5</v>
      </c>
      <c r="JE22" s="30">
        <v>46.666666666666664</v>
      </c>
      <c r="JF22" s="30">
        <v>20</v>
      </c>
      <c r="JG22" s="30">
        <v>3</v>
      </c>
      <c r="JH22" s="30">
        <v>0</v>
      </c>
      <c r="JI22" s="30">
        <v>30</v>
      </c>
      <c r="JJ22" s="30">
        <v>100</v>
      </c>
      <c r="JK22" s="30">
        <v>0</v>
      </c>
      <c r="JL22" s="30">
        <v>15</v>
      </c>
      <c r="JM22" s="30">
        <v>20</v>
      </c>
      <c r="JN22" s="30">
        <v>15</v>
      </c>
      <c r="JO22" s="30">
        <v>25</v>
      </c>
      <c r="JP22" s="30">
        <v>30</v>
      </c>
      <c r="JQ22" s="30">
        <v>17.5</v>
      </c>
      <c r="JR22" s="30">
        <v>15</v>
      </c>
      <c r="JS22" s="30">
        <v>10</v>
      </c>
      <c r="JT22" s="30">
        <v>15</v>
      </c>
      <c r="JU22" s="30">
        <v>20</v>
      </c>
      <c r="JV22" s="30">
        <v>15</v>
      </c>
      <c r="JW22" s="30">
        <v>25</v>
      </c>
      <c r="JX22" s="30">
        <v>30</v>
      </c>
      <c r="JY22" s="30">
        <v>50</v>
      </c>
      <c r="JZ22" s="30">
        <v>65</v>
      </c>
      <c r="KA22" s="42">
        <v>80</v>
      </c>
      <c r="KB22" s="42">
        <v>70</v>
      </c>
      <c r="KC22" s="42">
        <v>65</v>
      </c>
      <c r="KD22" s="42">
        <v>45</v>
      </c>
      <c r="KE22" s="42">
        <v>10</v>
      </c>
      <c r="KF22" s="62">
        <v>0</v>
      </c>
      <c r="KG22" s="30">
        <v>17.5</v>
      </c>
      <c r="KH22" s="30">
        <v>26</v>
      </c>
      <c r="KI22" s="30">
        <v>13.333333333333334</v>
      </c>
      <c r="KJ22" s="30">
        <v>17.5</v>
      </c>
      <c r="KK22" s="30">
        <v>35</v>
      </c>
      <c r="KL22" s="30">
        <v>18.75</v>
      </c>
      <c r="KM22" s="30">
        <v>3</v>
      </c>
      <c r="KN22" s="30">
        <v>0</v>
      </c>
      <c r="KO22" s="30">
        <v>25</v>
      </c>
      <c r="KP22" s="30">
        <v>92</v>
      </c>
      <c r="KQ22" s="30" t="s">
        <v>852</v>
      </c>
      <c r="KR22" s="30" t="s">
        <v>853</v>
      </c>
    </row>
    <row r="23" spans="1:305" hidden="1">
      <c r="A23" s="1" t="s">
        <v>886</v>
      </c>
      <c r="B23" s="91">
        <v>67</v>
      </c>
      <c r="C23" s="95" t="str">
        <f>LOOKUP(B23,{0,20,30,40,50,60},{"10","20","30","40","50","60","70","80","90"})</f>
        <v>60</v>
      </c>
      <c r="D23" s="91" t="s">
        <v>888</v>
      </c>
      <c r="E23" s="1"/>
      <c r="F23" s="99">
        <v>44664</v>
      </c>
      <c r="G23" s="100"/>
      <c r="H23" s="95" t="s">
        <v>115</v>
      </c>
      <c r="I23" s="90">
        <v>44705</v>
      </c>
      <c r="J23" s="1"/>
      <c r="K23" s="91" t="s">
        <v>727</v>
      </c>
      <c r="L23" s="100"/>
      <c r="M23" s="100"/>
      <c r="N23" s="100"/>
      <c r="O23" s="99">
        <v>44704</v>
      </c>
      <c r="P23" s="99"/>
      <c r="Q23" s="99"/>
      <c r="R23" s="99"/>
      <c r="S23" s="92">
        <v>44795</v>
      </c>
      <c r="T23" s="92">
        <v>44886</v>
      </c>
      <c r="U23" s="92"/>
      <c r="V23" s="92"/>
      <c r="W23" s="92"/>
      <c r="X23" s="92">
        <v>45068</v>
      </c>
      <c r="Y23" s="92">
        <v>44705</v>
      </c>
      <c r="Z23" s="30">
        <f t="shared" si="4"/>
        <v>0</v>
      </c>
      <c r="AA23" s="30"/>
      <c r="AB23" s="30">
        <v>15</v>
      </c>
      <c r="AC23" s="30">
        <v>20</v>
      </c>
      <c r="AD23" s="30">
        <v>20</v>
      </c>
      <c r="AE23" s="30">
        <v>20</v>
      </c>
      <c r="AF23" s="30">
        <v>15</v>
      </c>
      <c r="AG23" s="30">
        <v>15</v>
      </c>
      <c r="AH23" s="33">
        <v>20</v>
      </c>
      <c r="AI23" s="30">
        <v>50</v>
      </c>
      <c r="AJ23" s="30">
        <v>50</v>
      </c>
      <c r="AK23" s="30">
        <v>35</v>
      </c>
      <c r="AL23" s="30">
        <v>20</v>
      </c>
      <c r="AM23" s="30">
        <v>30</v>
      </c>
      <c r="AN23" s="30">
        <v>40</v>
      </c>
      <c r="AO23" s="30">
        <v>40</v>
      </c>
      <c r="AP23" s="30">
        <v>65</v>
      </c>
      <c r="AQ23" s="31" t="s">
        <v>234</v>
      </c>
      <c r="AR23" s="31" t="s">
        <v>234</v>
      </c>
      <c r="AS23" s="31" t="s">
        <v>234</v>
      </c>
      <c r="AT23" s="31" t="s">
        <v>234</v>
      </c>
      <c r="AU23" s="31" t="s">
        <v>234</v>
      </c>
      <c r="AV23" s="31" t="s">
        <v>234</v>
      </c>
      <c r="AW23" s="31" t="s">
        <v>234</v>
      </c>
      <c r="AX23" s="33">
        <v>26.25</v>
      </c>
      <c r="AY23" s="33">
        <v>38</v>
      </c>
      <c r="AZ23" s="33">
        <v>45</v>
      </c>
      <c r="BA23" s="33">
        <v>25</v>
      </c>
      <c r="BB23" s="33">
        <v>48.333333333333336</v>
      </c>
      <c r="BC23" s="33">
        <v>31.25</v>
      </c>
      <c r="BD23" s="34" t="s">
        <v>235</v>
      </c>
      <c r="BE23" s="33">
        <v>1</v>
      </c>
      <c r="BF23" s="30">
        <v>35</v>
      </c>
      <c r="BG23" s="30">
        <v>100</v>
      </c>
      <c r="BH23" s="30">
        <v>10</v>
      </c>
      <c r="BI23" s="30">
        <v>25</v>
      </c>
      <c r="BJ23" s="30">
        <v>25</v>
      </c>
      <c r="BK23" s="30">
        <v>15</v>
      </c>
      <c r="BL23" s="30">
        <v>20</v>
      </c>
      <c r="BM23" s="30">
        <v>20</v>
      </c>
      <c r="BN23" s="33">
        <v>22.5</v>
      </c>
      <c r="BO23" s="30">
        <v>25</v>
      </c>
      <c r="BP23" s="30">
        <v>20</v>
      </c>
      <c r="BQ23" s="30">
        <v>25</v>
      </c>
      <c r="BR23" s="30">
        <v>25</v>
      </c>
      <c r="BS23" s="30">
        <v>15</v>
      </c>
      <c r="BT23" s="30">
        <v>20</v>
      </c>
      <c r="BU23" s="30">
        <v>20</v>
      </c>
      <c r="BV23" s="30">
        <v>50</v>
      </c>
      <c r="BW23" s="31" t="s">
        <v>234</v>
      </c>
      <c r="BX23" s="31" t="s">
        <v>234</v>
      </c>
      <c r="BY23" s="31" t="s">
        <v>234</v>
      </c>
      <c r="BZ23" s="31" t="s">
        <v>234</v>
      </c>
      <c r="CA23" s="31" t="s">
        <v>234</v>
      </c>
      <c r="CB23" s="31" t="s">
        <v>234</v>
      </c>
      <c r="CC23" s="31" t="s">
        <v>234</v>
      </c>
      <c r="CD23" s="33">
        <v>22.5</v>
      </c>
      <c r="CE23" s="33">
        <v>27</v>
      </c>
      <c r="CF23" s="33">
        <v>23.333333333333332</v>
      </c>
      <c r="CG23" s="33">
        <v>20</v>
      </c>
      <c r="CH23" s="33">
        <v>30</v>
      </c>
      <c r="CI23" s="33">
        <v>21.25</v>
      </c>
      <c r="CJ23" s="30">
        <v>3</v>
      </c>
      <c r="CK23" s="33">
        <v>1</v>
      </c>
      <c r="CL23" s="30">
        <v>25</v>
      </c>
      <c r="CM23" s="30">
        <v>100</v>
      </c>
      <c r="CN23" s="30"/>
      <c r="CO23" s="30"/>
      <c r="CP23" s="31" t="s">
        <v>854</v>
      </c>
      <c r="CQ23" s="32">
        <v>44795</v>
      </c>
      <c r="CR23" s="30">
        <f t="shared" si="5"/>
        <v>90</v>
      </c>
      <c r="CS23" s="30"/>
      <c r="CT23" s="30">
        <v>10</v>
      </c>
      <c r="CU23" s="30">
        <v>25</v>
      </c>
      <c r="CV23" s="30">
        <v>15</v>
      </c>
      <c r="CW23" s="30">
        <v>20</v>
      </c>
      <c r="CX23" s="30">
        <v>20</v>
      </c>
      <c r="CY23" s="30">
        <v>15</v>
      </c>
      <c r="CZ23" s="33">
        <v>18.75</v>
      </c>
      <c r="DA23" s="30">
        <v>25</v>
      </c>
      <c r="DB23" s="30">
        <v>15</v>
      </c>
      <c r="DC23" s="30">
        <v>25</v>
      </c>
      <c r="DD23" s="30">
        <v>30</v>
      </c>
      <c r="DE23" s="30">
        <v>30</v>
      </c>
      <c r="DF23" s="30">
        <v>30</v>
      </c>
      <c r="DG23" s="30">
        <v>45</v>
      </c>
      <c r="DH23" s="30">
        <v>80</v>
      </c>
      <c r="DI23" s="30"/>
      <c r="DJ23" s="30"/>
      <c r="DK23" s="30"/>
      <c r="DL23" s="30"/>
      <c r="DM23" s="30"/>
      <c r="DN23" s="30"/>
      <c r="DO23" s="30"/>
      <c r="DP23" s="33">
        <v>28.75</v>
      </c>
      <c r="DQ23" s="33">
        <v>42</v>
      </c>
      <c r="DR23" s="33">
        <v>21.666666666666668</v>
      </c>
      <c r="DS23" s="33">
        <v>30</v>
      </c>
      <c r="DT23" s="33">
        <v>51.666666666666664</v>
      </c>
      <c r="DU23" s="33">
        <v>28.75</v>
      </c>
      <c r="DV23" s="30">
        <v>3</v>
      </c>
      <c r="DW23" s="33">
        <v>1</v>
      </c>
      <c r="DX23" s="30">
        <v>25</v>
      </c>
      <c r="DY23" s="30">
        <v>100</v>
      </c>
      <c r="DZ23" s="30">
        <v>10</v>
      </c>
      <c r="EA23" s="30">
        <v>20</v>
      </c>
      <c r="EB23" s="30">
        <v>25</v>
      </c>
      <c r="EC23" s="30">
        <v>15</v>
      </c>
      <c r="ED23" s="30">
        <v>20</v>
      </c>
      <c r="EE23" s="30">
        <v>15</v>
      </c>
      <c r="EF23" s="33">
        <v>21.25</v>
      </c>
      <c r="EG23" s="30">
        <v>20</v>
      </c>
      <c r="EH23" s="30">
        <v>15</v>
      </c>
      <c r="EI23" s="30">
        <v>20</v>
      </c>
      <c r="EJ23" s="30">
        <v>25</v>
      </c>
      <c r="EK23" s="30">
        <v>15</v>
      </c>
      <c r="EL23" s="30">
        <v>25</v>
      </c>
      <c r="EM23" s="30">
        <v>25</v>
      </c>
      <c r="EN23" s="30">
        <v>55</v>
      </c>
      <c r="EO23" s="30" t="s">
        <v>277</v>
      </c>
      <c r="EP23" s="30" t="s">
        <v>277</v>
      </c>
      <c r="EQ23" s="30" t="s">
        <v>277</v>
      </c>
      <c r="ER23" s="30" t="s">
        <v>277</v>
      </c>
      <c r="ES23" s="30" t="s">
        <v>277</v>
      </c>
      <c r="ET23" s="30" t="s">
        <v>277</v>
      </c>
      <c r="EU23" s="30" t="s">
        <v>277</v>
      </c>
      <c r="EV23" s="33">
        <v>21.25</v>
      </c>
      <c r="EW23" s="33">
        <v>28</v>
      </c>
      <c r="EX23" s="33">
        <v>18.333333333333332</v>
      </c>
      <c r="EY23" s="33">
        <v>20</v>
      </c>
      <c r="EZ23" s="33">
        <v>35</v>
      </c>
      <c r="FA23" s="33">
        <v>21.25</v>
      </c>
      <c r="FB23" s="30">
        <v>3</v>
      </c>
      <c r="FC23" s="33">
        <v>1</v>
      </c>
      <c r="FD23" s="30">
        <v>25</v>
      </c>
      <c r="FE23" s="30">
        <v>100</v>
      </c>
      <c r="FF23" s="30" t="s">
        <v>855</v>
      </c>
      <c r="FG23" s="30" t="s">
        <v>856</v>
      </c>
      <c r="FH23" s="30"/>
      <c r="FI23" s="32">
        <v>44886</v>
      </c>
      <c r="FJ23" s="30">
        <f t="shared" si="6"/>
        <v>181</v>
      </c>
      <c r="FK23" s="30"/>
      <c r="FL23" s="30">
        <v>5</v>
      </c>
      <c r="FM23" s="30">
        <v>25</v>
      </c>
      <c r="FN23" s="30">
        <v>25</v>
      </c>
      <c r="FO23" s="30">
        <v>25</v>
      </c>
      <c r="FP23" s="30">
        <v>25</v>
      </c>
      <c r="FQ23" s="30">
        <v>15</v>
      </c>
      <c r="FR23" s="33">
        <v>25</v>
      </c>
      <c r="FS23" s="30">
        <v>25</v>
      </c>
      <c r="FT23" s="30">
        <v>15</v>
      </c>
      <c r="FU23" s="30">
        <v>25</v>
      </c>
      <c r="FV23" s="30">
        <v>25</v>
      </c>
      <c r="FW23" s="30">
        <v>25</v>
      </c>
      <c r="FX23" s="30">
        <v>35</v>
      </c>
      <c r="FY23" s="30">
        <v>35</v>
      </c>
      <c r="FZ23" s="30">
        <v>95</v>
      </c>
      <c r="GA23" s="30"/>
      <c r="GB23" s="30"/>
      <c r="GC23" s="30"/>
      <c r="GD23" s="30"/>
      <c r="GE23" s="30"/>
      <c r="GF23" s="30"/>
      <c r="GG23" s="30"/>
      <c r="GH23" s="33">
        <v>25</v>
      </c>
      <c r="GI23" s="33">
        <v>41</v>
      </c>
      <c r="GJ23" s="33">
        <v>21.666666666666668</v>
      </c>
      <c r="GK23" s="33">
        <v>25</v>
      </c>
      <c r="GL23" s="33">
        <v>55</v>
      </c>
      <c r="GM23" s="33">
        <v>27.5</v>
      </c>
      <c r="GN23" s="30">
        <v>3</v>
      </c>
      <c r="GO23" s="33">
        <v>1</v>
      </c>
      <c r="GP23" s="30">
        <v>30</v>
      </c>
      <c r="GQ23" s="30">
        <v>100</v>
      </c>
      <c r="GR23" s="30">
        <v>15</v>
      </c>
      <c r="GS23" s="30">
        <v>20</v>
      </c>
      <c r="GT23" s="30">
        <v>25</v>
      </c>
      <c r="GU23" s="30">
        <v>20</v>
      </c>
      <c r="GV23" s="30">
        <v>15</v>
      </c>
      <c r="GW23" s="30">
        <v>15</v>
      </c>
      <c r="GX23" s="30">
        <v>22.5</v>
      </c>
      <c r="GY23" s="30">
        <v>25</v>
      </c>
      <c r="GZ23" s="30">
        <v>15</v>
      </c>
      <c r="HA23" s="30">
        <v>20</v>
      </c>
      <c r="HB23" s="30">
        <v>25</v>
      </c>
      <c r="HC23" s="30">
        <v>20</v>
      </c>
      <c r="HD23" s="30">
        <v>15</v>
      </c>
      <c r="HE23" s="30">
        <v>20</v>
      </c>
      <c r="HF23" s="30">
        <v>60</v>
      </c>
      <c r="HG23" s="30"/>
      <c r="HH23" s="30"/>
      <c r="HI23" s="30"/>
      <c r="HJ23" s="30"/>
      <c r="HK23" s="30"/>
      <c r="HL23" s="30"/>
      <c r="HM23" s="30"/>
      <c r="HN23" s="30">
        <v>22.5</v>
      </c>
      <c r="HO23" s="30">
        <v>29</v>
      </c>
      <c r="HP23" s="30">
        <v>20</v>
      </c>
      <c r="HQ23" s="30">
        <v>22.5</v>
      </c>
      <c r="HR23" s="30">
        <v>31.666666666666668</v>
      </c>
      <c r="HS23" s="30">
        <v>20</v>
      </c>
      <c r="HT23" s="30"/>
      <c r="HU23" s="30">
        <v>3</v>
      </c>
      <c r="HV23" s="30">
        <v>0</v>
      </c>
      <c r="HW23" s="30">
        <v>25</v>
      </c>
      <c r="HX23" s="30">
        <v>100</v>
      </c>
      <c r="HY23" s="30" t="s">
        <v>857</v>
      </c>
      <c r="HZ23" s="30" t="s">
        <v>858</v>
      </c>
      <c r="IA23" s="30"/>
      <c r="IB23" s="32">
        <v>45068</v>
      </c>
      <c r="IC23" s="84">
        <f t="shared" si="7"/>
        <v>363</v>
      </c>
      <c r="ID23" s="30"/>
      <c r="IE23" s="30">
        <v>5</v>
      </c>
      <c r="IF23" s="30">
        <v>25</v>
      </c>
      <c r="IG23" s="30">
        <v>20</v>
      </c>
      <c r="IH23" s="30">
        <v>25</v>
      </c>
      <c r="II23" s="30">
        <v>30</v>
      </c>
      <c r="IJ23" s="30">
        <v>20</v>
      </c>
      <c r="IK23" s="30">
        <v>22.5</v>
      </c>
      <c r="IL23" s="30">
        <v>20</v>
      </c>
      <c r="IM23" s="30">
        <v>15</v>
      </c>
      <c r="IN23" s="30">
        <v>25</v>
      </c>
      <c r="IO23" s="30">
        <v>25</v>
      </c>
      <c r="IP23" s="30">
        <v>25</v>
      </c>
      <c r="IQ23" s="30">
        <v>30</v>
      </c>
      <c r="IR23" s="30">
        <v>35</v>
      </c>
      <c r="IS23" s="30">
        <v>90</v>
      </c>
      <c r="IT23" s="30"/>
      <c r="IU23" s="30"/>
      <c r="IV23" s="30"/>
      <c r="IW23" s="30"/>
      <c r="IX23" s="30"/>
      <c r="IY23" s="30"/>
      <c r="IZ23" s="30"/>
      <c r="JA23" s="30">
        <v>25</v>
      </c>
      <c r="JB23" s="30">
        <v>40</v>
      </c>
      <c r="JC23" s="30">
        <v>20</v>
      </c>
      <c r="JD23" s="30">
        <v>25</v>
      </c>
      <c r="JE23" s="30">
        <v>51.666666666666664</v>
      </c>
      <c r="JF23" s="30">
        <v>26.25</v>
      </c>
      <c r="JG23" s="30">
        <v>3</v>
      </c>
      <c r="JH23" s="30">
        <v>1</v>
      </c>
      <c r="JI23" s="30">
        <v>30</v>
      </c>
      <c r="JJ23" s="30">
        <v>100</v>
      </c>
      <c r="JK23" s="30">
        <v>10</v>
      </c>
      <c r="JL23" s="30">
        <v>20</v>
      </c>
      <c r="JM23" s="30">
        <v>25</v>
      </c>
      <c r="JN23" s="30">
        <v>10</v>
      </c>
      <c r="JO23" s="30">
        <v>20</v>
      </c>
      <c r="JP23" s="30">
        <v>20</v>
      </c>
      <c r="JQ23" s="30">
        <v>20</v>
      </c>
      <c r="JR23" s="30">
        <v>15</v>
      </c>
      <c r="JS23" s="30">
        <v>10</v>
      </c>
      <c r="JT23" s="30">
        <v>20</v>
      </c>
      <c r="JU23" s="30">
        <v>25</v>
      </c>
      <c r="JV23" s="30">
        <v>10</v>
      </c>
      <c r="JW23" s="30">
        <v>20</v>
      </c>
      <c r="JX23" s="30">
        <v>20</v>
      </c>
      <c r="JY23" s="30">
        <v>55</v>
      </c>
      <c r="JZ23" s="30" t="s">
        <v>277</v>
      </c>
      <c r="KA23" s="30" t="s">
        <v>277</v>
      </c>
      <c r="KB23" s="30" t="s">
        <v>277</v>
      </c>
      <c r="KC23" s="30" t="s">
        <v>277</v>
      </c>
      <c r="KD23" s="30" t="s">
        <v>277</v>
      </c>
      <c r="KE23" s="30" t="s">
        <v>277</v>
      </c>
      <c r="KF23" s="30" t="s">
        <v>277</v>
      </c>
      <c r="KG23" s="30">
        <v>20</v>
      </c>
      <c r="KH23" s="30">
        <v>26</v>
      </c>
      <c r="KI23" s="30">
        <v>15</v>
      </c>
      <c r="KJ23" s="30">
        <v>17.5</v>
      </c>
      <c r="KK23" s="30">
        <v>31.666666666666668</v>
      </c>
      <c r="KL23" s="30">
        <v>18.75</v>
      </c>
      <c r="KM23" s="30">
        <v>3</v>
      </c>
      <c r="KN23" s="30">
        <v>0</v>
      </c>
      <c r="KO23" s="30">
        <v>20</v>
      </c>
      <c r="KP23" s="30">
        <v>100</v>
      </c>
      <c r="KQ23" s="30" t="s">
        <v>859</v>
      </c>
      <c r="KR23" s="30" t="s">
        <v>860</v>
      </c>
    </row>
    <row r="24" spans="1:305" hidden="1">
      <c r="A24" s="1" t="s">
        <v>887</v>
      </c>
      <c r="B24" s="91">
        <v>59</v>
      </c>
      <c r="C24" s="95" t="str">
        <f>LOOKUP(B24,{0,20,30,40,50,60},{"10","20","30","40","50","60","70","80","90"})</f>
        <v>50</v>
      </c>
      <c r="D24" s="91" t="s">
        <v>889</v>
      </c>
      <c r="E24" s="1"/>
      <c r="F24" s="99">
        <v>44636</v>
      </c>
      <c r="G24" s="100"/>
      <c r="H24" s="95" t="s">
        <v>115</v>
      </c>
      <c r="I24" s="90">
        <v>44705</v>
      </c>
      <c r="J24" s="1"/>
      <c r="K24" s="91" t="s">
        <v>730</v>
      </c>
      <c r="L24" s="100"/>
      <c r="M24" s="100"/>
      <c r="N24" s="100"/>
      <c r="O24" s="99">
        <v>44704</v>
      </c>
      <c r="P24" s="99"/>
      <c r="Q24" s="99"/>
      <c r="R24" s="99"/>
      <c r="S24" s="92">
        <v>44797</v>
      </c>
      <c r="T24" s="92">
        <v>44893</v>
      </c>
      <c r="U24" s="92"/>
      <c r="V24" s="92"/>
      <c r="W24" s="92"/>
      <c r="X24" s="92">
        <v>45077</v>
      </c>
      <c r="Y24" s="92">
        <v>44704</v>
      </c>
      <c r="Z24" s="30">
        <f t="shared" si="4"/>
        <v>-1</v>
      </c>
      <c r="AA24" s="30"/>
      <c r="AB24" s="30">
        <v>10</v>
      </c>
      <c r="AC24" s="30">
        <v>25</v>
      </c>
      <c r="AD24" s="30">
        <v>25</v>
      </c>
      <c r="AE24" s="30">
        <v>40</v>
      </c>
      <c r="AF24" s="30">
        <v>65</v>
      </c>
      <c r="AG24" s="30">
        <v>60</v>
      </c>
      <c r="AH24" s="33">
        <v>28.75</v>
      </c>
      <c r="AI24" s="30">
        <v>25</v>
      </c>
      <c r="AJ24" s="30">
        <v>15</v>
      </c>
      <c r="AK24" s="30">
        <v>25</v>
      </c>
      <c r="AL24" s="30">
        <v>30</v>
      </c>
      <c r="AM24" s="30">
        <v>40</v>
      </c>
      <c r="AN24" s="30">
        <v>80</v>
      </c>
      <c r="AO24" s="30">
        <v>65</v>
      </c>
      <c r="AP24" s="30">
        <v>75</v>
      </c>
      <c r="AQ24" s="31" t="s">
        <v>234</v>
      </c>
      <c r="AR24" s="31" t="s">
        <v>234</v>
      </c>
      <c r="AS24" s="31" t="s">
        <v>234</v>
      </c>
      <c r="AT24" s="31" t="s">
        <v>234</v>
      </c>
      <c r="AU24" s="31" t="s">
        <v>234</v>
      </c>
      <c r="AV24" s="31" t="s">
        <v>234</v>
      </c>
      <c r="AW24" s="31" t="s">
        <v>234</v>
      </c>
      <c r="AX24" s="33">
        <v>31.25</v>
      </c>
      <c r="AY24" s="33">
        <v>47</v>
      </c>
      <c r="AZ24" s="33">
        <v>21.666666666666668</v>
      </c>
      <c r="BA24" s="33">
        <v>35</v>
      </c>
      <c r="BB24" s="33">
        <v>73.333333333333329</v>
      </c>
      <c r="BC24" s="33">
        <v>43.75</v>
      </c>
      <c r="BD24" s="34">
        <v>3</v>
      </c>
      <c r="BE24" s="33">
        <v>2</v>
      </c>
      <c r="BF24" s="30">
        <v>35</v>
      </c>
      <c r="BG24" s="30">
        <v>100</v>
      </c>
      <c r="BH24" s="30">
        <v>5</v>
      </c>
      <c r="BI24" s="30">
        <v>5</v>
      </c>
      <c r="BJ24" s="30">
        <v>15</v>
      </c>
      <c r="BK24" s="30">
        <v>20</v>
      </c>
      <c r="BL24" s="30">
        <v>20</v>
      </c>
      <c r="BM24" s="30">
        <v>30</v>
      </c>
      <c r="BN24" s="33">
        <v>13.75</v>
      </c>
      <c r="BO24" s="30">
        <v>15</v>
      </c>
      <c r="BP24" s="30">
        <v>5</v>
      </c>
      <c r="BQ24" s="30">
        <v>5</v>
      </c>
      <c r="BR24" s="30">
        <v>15</v>
      </c>
      <c r="BS24" s="30">
        <v>20</v>
      </c>
      <c r="BT24" s="30">
        <v>20</v>
      </c>
      <c r="BU24" s="30">
        <v>30</v>
      </c>
      <c r="BV24" s="30">
        <v>25</v>
      </c>
      <c r="BW24" s="31" t="s">
        <v>234</v>
      </c>
      <c r="BX24" s="31" t="s">
        <v>234</v>
      </c>
      <c r="BY24" s="31" t="s">
        <v>234</v>
      </c>
      <c r="BZ24" s="31" t="s">
        <v>234</v>
      </c>
      <c r="CA24" s="31" t="s">
        <v>234</v>
      </c>
      <c r="CB24" s="31" t="s">
        <v>234</v>
      </c>
      <c r="CC24" s="31" t="s">
        <v>234</v>
      </c>
      <c r="CD24" s="33">
        <v>13.75</v>
      </c>
      <c r="CE24" s="33">
        <v>19</v>
      </c>
      <c r="CF24" s="33">
        <v>8.3333333333333339</v>
      </c>
      <c r="CG24" s="33">
        <v>17.5</v>
      </c>
      <c r="CH24" s="33">
        <v>25</v>
      </c>
      <c r="CI24" s="33">
        <v>15</v>
      </c>
      <c r="CJ24" s="30">
        <v>3</v>
      </c>
      <c r="CK24" s="33">
        <v>0</v>
      </c>
      <c r="CL24" s="30">
        <v>20</v>
      </c>
      <c r="CM24" s="30">
        <v>100</v>
      </c>
      <c r="CN24" s="31" t="s">
        <v>861</v>
      </c>
      <c r="CO24" s="31" t="s">
        <v>862</v>
      </c>
      <c r="CP24" s="30"/>
      <c r="CQ24" s="32">
        <v>44797</v>
      </c>
      <c r="CR24" s="30">
        <f t="shared" si="5"/>
        <v>92</v>
      </c>
      <c r="CS24" s="30"/>
      <c r="CT24" s="30">
        <v>15</v>
      </c>
      <c r="CU24" s="30">
        <v>20</v>
      </c>
      <c r="CV24" s="30">
        <v>15</v>
      </c>
      <c r="CW24" s="30">
        <v>30</v>
      </c>
      <c r="CX24" s="30">
        <v>60</v>
      </c>
      <c r="CY24" s="30">
        <v>45</v>
      </c>
      <c r="CZ24" s="33">
        <v>20</v>
      </c>
      <c r="DA24" s="30">
        <v>25</v>
      </c>
      <c r="DB24" s="30">
        <v>25</v>
      </c>
      <c r="DC24" s="30">
        <v>20</v>
      </c>
      <c r="DD24" s="30">
        <v>15</v>
      </c>
      <c r="DE24" s="30">
        <v>30</v>
      </c>
      <c r="DF24" s="30">
        <v>80</v>
      </c>
      <c r="DG24" s="30">
        <v>80</v>
      </c>
      <c r="DH24" s="30">
        <v>65</v>
      </c>
      <c r="DI24" s="30"/>
      <c r="DJ24" s="30"/>
      <c r="DK24" s="30"/>
      <c r="DL24" s="30"/>
      <c r="DM24" s="30"/>
      <c r="DN24" s="30"/>
      <c r="DO24" s="30"/>
      <c r="DP24" s="33">
        <v>20</v>
      </c>
      <c r="DQ24" s="33">
        <v>42</v>
      </c>
      <c r="DR24" s="33">
        <v>23.333333333333332</v>
      </c>
      <c r="DS24" s="33">
        <v>22.5</v>
      </c>
      <c r="DT24" s="33">
        <v>75</v>
      </c>
      <c r="DU24" s="33">
        <v>36.25</v>
      </c>
      <c r="DV24" s="30">
        <v>3</v>
      </c>
      <c r="DW24" s="33">
        <v>1</v>
      </c>
      <c r="DX24" s="30" t="s">
        <v>497</v>
      </c>
      <c r="DY24" s="30" t="s">
        <v>497</v>
      </c>
      <c r="DZ24" s="30">
        <v>0</v>
      </c>
      <c r="EA24" s="30">
        <v>5</v>
      </c>
      <c r="EB24" s="30">
        <v>15</v>
      </c>
      <c r="EC24" s="30">
        <v>20</v>
      </c>
      <c r="ED24" s="30">
        <v>20</v>
      </c>
      <c r="EE24" s="30">
        <v>30</v>
      </c>
      <c r="EF24" s="33">
        <v>13.75</v>
      </c>
      <c r="EG24" s="30">
        <v>5</v>
      </c>
      <c r="EH24" s="30">
        <v>0</v>
      </c>
      <c r="EI24" s="30">
        <v>5</v>
      </c>
      <c r="EJ24" s="30">
        <v>15</v>
      </c>
      <c r="EK24" s="30">
        <v>20</v>
      </c>
      <c r="EL24" s="30">
        <v>25</v>
      </c>
      <c r="EM24" s="30">
        <v>35</v>
      </c>
      <c r="EN24" s="30">
        <v>25</v>
      </c>
      <c r="EO24" s="30" t="s">
        <v>277</v>
      </c>
      <c r="EP24" s="30" t="s">
        <v>277</v>
      </c>
      <c r="EQ24" s="30" t="s">
        <v>277</v>
      </c>
      <c r="ER24" s="30" t="s">
        <v>277</v>
      </c>
      <c r="ES24" s="30" t="s">
        <v>277</v>
      </c>
      <c r="ET24" s="30" t="s">
        <v>277</v>
      </c>
      <c r="EU24" s="30" t="s">
        <v>277</v>
      </c>
      <c r="EV24" s="33">
        <v>13.75</v>
      </c>
      <c r="EW24" s="33">
        <v>20</v>
      </c>
      <c r="EX24" s="33">
        <v>3.3333333333333335</v>
      </c>
      <c r="EY24" s="33">
        <v>17.5</v>
      </c>
      <c r="EZ24" s="33">
        <v>28.333333333333332</v>
      </c>
      <c r="FA24" s="33">
        <v>16.25</v>
      </c>
      <c r="FB24" s="30">
        <v>3</v>
      </c>
      <c r="FC24" s="33">
        <v>0</v>
      </c>
      <c r="FD24" s="30" t="s">
        <v>497</v>
      </c>
      <c r="FE24" s="30" t="s">
        <v>497</v>
      </c>
      <c r="FF24" s="30" t="s">
        <v>863</v>
      </c>
      <c r="FG24" s="30" t="s">
        <v>864</v>
      </c>
      <c r="FH24" s="30"/>
      <c r="FI24" s="32">
        <v>44893</v>
      </c>
      <c r="FJ24" s="30">
        <f t="shared" si="6"/>
        <v>188</v>
      </c>
      <c r="FK24" s="30"/>
      <c r="FL24" s="30">
        <v>15</v>
      </c>
      <c r="FM24" s="30">
        <v>15</v>
      </c>
      <c r="FN24" s="30">
        <v>20</v>
      </c>
      <c r="FO24" s="30">
        <v>25</v>
      </c>
      <c r="FP24" s="30">
        <v>75</v>
      </c>
      <c r="FQ24" s="30">
        <v>60</v>
      </c>
      <c r="FR24" s="33">
        <v>20</v>
      </c>
      <c r="FS24" s="30">
        <v>25</v>
      </c>
      <c r="FT24" s="30">
        <v>25</v>
      </c>
      <c r="FU24" s="30">
        <v>15</v>
      </c>
      <c r="FV24" s="30">
        <v>20</v>
      </c>
      <c r="FW24" s="30">
        <v>25</v>
      </c>
      <c r="FX24" s="30">
        <v>80</v>
      </c>
      <c r="FY24" s="30">
        <v>85</v>
      </c>
      <c r="FZ24" s="30">
        <v>55</v>
      </c>
      <c r="GA24" s="30"/>
      <c r="GB24" s="30"/>
      <c r="GC24" s="30"/>
      <c r="GD24" s="30"/>
      <c r="GE24" s="30"/>
      <c r="GF24" s="30"/>
      <c r="GG24" s="30"/>
      <c r="GH24" s="33">
        <v>20</v>
      </c>
      <c r="GI24" s="33">
        <v>40</v>
      </c>
      <c r="GJ24" s="33">
        <v>21.666666666666668</v>
      </c>
      <c r="GK24" s="33">
        <v>22.5</v>
      </c>
      <c r="GL24" s="33">
        <v>73.333333333333329</v>
      </c>
      <c r="GM24" s="33">
        <v>35</v>
      </c>
      <c r="GN24" s="30">
        <v>3</v>
      </c>
      <c r="GO24" s="33">
        <v>1</v>
      </c>
      <c r="GP24" s="30">
        <v>30</v>
      </c>
      <c r="GQ24" s="30">
        <v>100</v>
      </c>
      <c r="GR24" s="30">
        <v>15</v>
      </c>
      <c r="GS24" s="30">
        <v>5</v>
      </c>
      <c r="GT24" s="30">
        <v>15</v>
      </c>
      <c r="GU24" s="30">
        <v>25</v>
      </c>
      <c r="GV24" s="30">
        <v>25</v>
      </c>
      <c r="GW24" s="30">
        <v>25</v>
      </c>
      <c r="GX24" s="30">
        <v>15</v>
      </c>
      <c r="GY24" s="30">
        <v>25</v>
      </c>
      <c r="GZ24" s="30">
        <v>15</v>
      </c>
      <c r="HA24" s="30">
        <v>5</v>
      </c>
      <c r="HB24" s="30">
        <v>15</v>
      </c>
      <c r="HC24" s="30">
        <v>25</v>
      </c>
      <c r="HD24" s="30">
        <v>30</v>
      </c>
      <c r="HE24" s="30">
        <v>35</v>
      </c>
      <c r="HF24" s="30">
        <v>35</v>
      </c>
      <c r="HG24" s="30"/>
      <c r="HH24" s="30"/>
      <c r="HI24" s="30"/>
      <c r="HJ24" s="30"/>
      <c r="HK24" s="30"/>
      <c r="HL24" s="30"/>
      <c r="HM24" s="30"/>
      <c r="HN24" s="30">
        <v>15</v>
      </c>
      <c r="HO24" s="30">
        <v>23</v>
      </c>
      <c r="HP24" s="30">
        <v>15</v>
      </c>
      <c r="HQ24" s="30">
        <v>20</v>
      </c>
      <c r="HR24" s="30">
        <v>33.333333333333336</v>
      </c>
      <c r="HS24" s="30">
        <v>18.75</v>
      </c>
      <c r="HT24" s="30"/>
      <c r="HU24" s="30" t="s">
        <v>235</v>
      </c>
      <c r="HV24" s="30">
        <v>0</v>
      </c>
      <c r="HW24" s="30">
        <v>25</v>
      </c>
      <c r="HX24" s="30">
        <v>100</v>
      </c>
      <c r="HY24" s="30" t="s">
        <v>865</v>
      </c>
      <c r="HZ24" s="30" t="s">
        <v>866</v>
      </c>
      <c r="IA24" s="30"/>
      <c r="IB24" s="32">
        <v>45077</v>
      </c>
      <c r="IC24" s="84">
        <f t="shared" si="7"/>
        <v>372</v>
      </c>
      <c r="ID24" s="30"/>
      <c r="IE24" s="30">
        <v>15</v>
      </c>
      <c r="IF24" s="30">
        <v>15</v>
      </c>
      <c r="IG24" s="30">
        <v>20</v>
      </c>
      <c r="IH24" s="30">
        <v>25</v>
      </c>
      <c r="II24" s="30">
        <v>80</v>
      </c>
      <c r="IJ24" s="30">
        <v>65</v>
      </c>
      <c r="IK24" s="30">
        <v>20</v>
      </c>
      <c r="IL24" s="30">
        <v>25</v>
      </c>
      <c r="IM24" s="30">
        <v>25</v>
      </c>
      <c r="IN24" s="30">
        <v>15</v>
      </c>
      <c r="IO24" s="30">
        <v>20</v>
      </c>
      <c r="IP24" s="30">
        <v>25</v>
      </c>
      <c r="IQ24" s="30">
        <v>80</v>
      </c>
      <c r="IR24" s="30">
        <v>95</v>
      </c>
      <c r="IS24" s="30">
        <v>60</v>
      </c>
      <c r="IT24" s="30"/>
      <c r="IU24" s="30"/>
      <c r="IV24" s="30"/>
      <c r="IW24" s="30"/>
      <c r="IX24" s="30"/>
      <c r="IY24" s="30"/>
      <c r="IZ24" s="30"/>
      <c r="JA24" s="30">
        <v>20</v>
      </c>
      <c r="JB24" s="30">
        <v>43</v>
      </c>
      <c r="JC24" s="30">
        <v>21.666666666666668</v>
      </c>
      <c r="JD24" s="30">
        <v>22.5</v>
      </c>
      <c r="JE24" s="30">
        <v>78.333333333333329</v>
      </c>
      <c r="JF24" s="30">
        <v>35</v>
      </c>
      <c r="JG24" s="30">
        <v>3</v>
      </c>
      <c r="JH24" s="30">
        <v>1</v>
      </c>
      <c r="JI24" s="30">
        <v>25</v>
      </c>
      <c r="JJ24" s="30">
        <v>100</v>
      </c>
      <c r="JK24" s="30">
        <v>5</v>
      </c>
      <c r="JL24" s="30">
        <v>5</v>
      </c>
      <c r="JM24" s="30">
        <v>10</v>
      </c>
      <c r="JN24" s="30">
        <v>20</v>
      </c>
      <c r="JO24" s="30">
        <v>20</v>
      </c>
      <c r="JP24" s="30">
        <v>25</v>
      </c>
      <c r="JQ24" s="30">
        <v>11.25</v>
      </c>
      <c r="JR24" s="30">
        <v>10</v>
      </c>
      <c r="JS24" s="30">
        <v>5</v>
      </c>
      <c r="JT24" s="30">
        <v>5</v>
      </c>
      <c r="JU24" s="30">
        <v>10</v>
      </c>
      <c r="JV24" s="30">
        <v>20</v>
      </c>
      <c r="JW24" s="30">
        <v>20</v>
      </c>
      <c r="JX24" s="30">
        <v>35</v>
      </c>
      <c r="JY24" s="30">
        <v>30</v>
      </c>
      <c r="JZ24" s="30" t="s">
        <v>277</v>
      </c>
      <c r="KA24" s="30" t="s">
        <v>277</v>
      </c>
      <c r="KB24" s="30" t="s">
        <v>277</v>
      </c>
      <c r="KC24" s="30" t="s">
        <v>277</v>
      </c>
      <c r="KD24" s="30" t="s">
        <v>277</v>
      </c>
      <c r="KE24" s="30" t="s">
        <v>277</v>
      </c>
      <c r="KF24" s="30" t="s">
        <v>277</v>
      </c>
      <c r="KG24" s="30">
        <v>11.25</v>
      </c>
      <c r="KH24" s="30">
        <v>20</v>
      </c>
      <c r="KI24" s="30">
        <v>6.666666666666667</v>
      </c>
      <c r="KJ24" s="30">
        <v>15</v>
      </c>
      <c r="KK24" s="30">
        <v>28.333333333333332</v>
      </c>
      <c r="KL24" s="30">
        <v>13.75</v>
      </c>
      <c r="KM24" s="30">
        <v>3</v>
      </c>
      <c r="KN24" s="30">
        <v>0</v>
      </c>
      <c r="KO24" s="30">
        <v>15</v>
      </c>
      <c r="KP24" s="30">
        <v>100</v>
      </c>
      <c r="KQ24" s="30" t="s">
        <v>867</v>
      </c>
      <c r="KR24" s="30" t="s">
        <v>868</v>
      </c>
    </row>
    <row r="25" spans="1:305">
      <c r="A25" s="1" t="s">
        <v>973</v>
      </c>
      <c r="B25" s="91">
        <v>64</v>
      </c>
      <c r="C25" s="95" t="str">
        <f>LOOKUP(B25,{0,20,30,40,50,60},{"10","20","30","40","50","60","70","80","90"})</f>
        <v>60</v>
      </c>
      <c r="D25" s="91">
        <v>2</v>
      </c>
      <c r="E25">
        <v>44354</v>
      </c>
      <c r="F25" s="99">
        <v>44407</v>
      </c>
      <c r="G25" s="100"/>
      <c r="H25" s="95" t="s">
        <v>115</v>
      </c>
      <c r="I25" s="92">
        <v>44481</v>
      </c>
      <c r="J25" s="1" t="s">
        <v>964</v>
      </c>
      <c r="K25" s="91" t="s">
        <v>728</v>
      </c>
      <c r="L25" s="100"/>
      <c r="M25" s="100"/>
      <c r="N25" s="100"/>
      <c r="O25" s="125">
        <v>44398</v>
      </c>
      <c r="P25" s="117">
        <f>O25-I25</f>
        <v>-83</v>
      </c>
      <c r="Q25" s="105">
        <v>0</v>
      </c>
      <c r="R25" s="105">
        <v>2</v>
      </c>
      <c r="S25" s="92">
        <v>44573</v>
      </c>
      <c r="T25" s="126">
        <v>44895</v>
      </c>
      <c r="U25" s="120">
        <f>T25-I25</f>
        <v>414</v>
      </c>
      <c r="V25" s="106">
        <v>0</v>
      </c>
      <c r="W25" s="105">
        <v>0</v>
      </c>
      <c r="X25" s="92">
        <v>44895</v>
      </c>
      <c r="Y25" s="116">
        <v>44407</v>
      </c>
      <c r="Z25" s="30">
        <f t="shared" si="4"/>
        <v>-74</v>
      </c>
      <c r="AA25" s="30"/>
      <c r="AB25" s="30">
        <v>40</v>
      </c>
      <c r="AC25" s="30">
        <v>50</v>
      </c>
      <c r="AD25" s="30">
        <v>25</v>
      </c>
      <c r="AE25" s="30">
        <v>15</v>
      </c>
      <c r="AF25" s="30">
        <v>5</v>
      </c>
      <c r="AG25" s="30">
        <v>10</v>
      </c>
      <c r="AH25" s="33">
        <v>28.75</v>
      </c>
      <c r="AI25" s="30">
        <v>60</v>
      </c>
      <c r="AJ25" s="30">
        <v>55</v>
      </c>
      <c r="AK25" s="30">
        <v>50</v>
      </c>
      <c r="AL25" s="30">
        <v>25</v>
      </c>
      <c r="AM25" s="30">
        <v>15</v>
      </c>
      <c r="AN25" s="30">
        <v>30</v>
      </c>
      <c r="AO25" s="30">
        <v>30</v>
      </c>
      <c r="AP25" s="30">
        <v>90</v>
      </c>
      <c r="AQ25" s="47">
        <v>70</v>
      </c>
      <c r="AR25" s="47">
        <v>85</v>
      </c>
      <c r="AS25" s="47">
        <v>75</v>
      </c>
      <c r="AT25" s="47">
        <v>65</v>
      </c>
      <c r="AU25" s="47">
        <v>45</v>
      </c>
      <c r="AV25" s="47">
        <v>20</v>
      </c>
      <c r="AW25" s="43">
        <v>0</v>
      </c>
      <c r="AX25" s="33">
        <v>28.75</v>
      </c>
      <c r="AY25" s="33">
        <v>42</v>
      </c>
      <c r="AZ25" s="33">
        <v>55</v>
      </c>
      <c r="BA25" s="33">
        <v>20</v>
      </c>
      <c r="BB25" s="33">
        <v>50</v>
      </c>
      <c r="BC25" s="33">
        <v>30</v>
      </c>
      <c r="BD25" s="34" t="s">
        <v>235</v>
      </c>
      <c r="BE25" s="33">
        <v>1</v>
      </c>
      <c r="BF25" s="30">
        <v>35</v>
      </c>
      <c r="BG25" s="30">
        <v>100</v>
      </c>
      <c r="BH25" s="30">
        <v>50</v>
      </c>
      <c r="BI25" s="30">
        <v>55</v>
      </c>
      <c r="BJ25" s="30">
        <v>40</v>
      </c>
      <c r="BK25" s="30">
        <v>25</v>
      </c>
      <c r="BL25" s="30">
        <v>10</v>
      </c>
      <c r="BM25" s="30">
        <v>10</v>
      </c>
      <c r="BN25" s="33">
        <v>40</v>
      </c>
      <c r="BO25" s="30">
        <v>70</v>
      </c>
      <c r="BP25" s="30">
        <v>80</v>
      </c>
      <c r="BQ25" s="30">
        <v>75</v>
      </c>
      <c r="BR25" s="30">
        <v>40</v>
      </c>
      <c r="BS25" s="30">
        <v>25</v>
      </c>
      <c r="BT25" s="30">
        <v>50</v>
      </c>
      <c r="BU25" s="30">
        <v>60</v>
      </c>
      <c r="BV25" s="30">
        <v>110</v>
      </c>
      <c r="BW25" s="47">
        <v>70</v>
      </c>
      <c r="BX25" s="47">
        <v>85</v>
      </c>
      <c r="BY25" s="47">
        <v>75</v>
      </c>
      <c r="BZ25" s="47">
        <v>65</v>
      </c>
      <c r="CA25" s="47">
        <v>45</v>
      </c>
      <c r="CB25" s="47">
        <v>20</v>
      </c>
      <c r="CC25" s="43">
        <v>0</v>
      </c>
      <c r="CD25" s="33">
        <v>45</v>
      </c>
      <c r="CE25" s="33">
        <v>62</v>
      </c>
      <c r="CF25" s="33">
        <v>75</v>
      </c>
      <c r="CG25" s="33">
        <v>32.5</v>
      </c>
      <c r="CH25" s="33">
        <v>73.333333333333329</v>
      </c>
      <c r="CI25" s="33">
        <v>47.5</v>
      </c>
      <c r="CJ25" s="31" t="s">
        <v>235</v>
      </c>
      <c r="CK25" s="33">
        <v>2</v>
      </c>
      <c r="CL25" s="30">
        <v>45</v>
      </c>
      <c r="CM25" s="30">
        <v>100</v>
      </c>
      <c r="CN25" s="31" t="s">
        <v>890</v>
      </c>
      <c r="CO25" s="31" t="s">
        <v>891</v>
      </c>
      <c r="CP25" s="30"/>
      <c r="CQ25" s="32">
        <v>44573</v>
      </c>
      <c r="CR25" s="30">
        <f t="shared" si="5"/>
        <v>92</v>
      </c>
      <c r="CS25" s="30"/>
      <c r="CT25" s="30">
        <v>10</v>
      </c>
      <c r="CU25" s="30">
        <v>25</v>
      </c>
      <c r="CV25" s="30">
        <v>20</v>
      </c>
      <c r="CW25" s="30">
        <v>15</v>
      </c>
      <c r="CX25" s="30">
        <v>15</v>
      </c>
      <c r="CY25" s="30">
        <v>15</v>
      </c>
      <c r="CZ25" s="33">
        <v>20</v>
      </c>
      <c r="DA25" s="30">
        <v>40</v>
      </c>
      <c r="DB25" s="30">
        <v>20</v>
      </c>
      <c r="DC25" s="30">
        <v>25</v>
      </c>
      <c r="DD25" s="30">
        <v>20</v>
      </c>
      <c r="DE25" s="30">
        <v>15</v>
      </c>
      <c r="DF25" s="30">
        <v>15</v>
      </c>
      <c r="DG25" s="30">
        <v>15</v>
      </c>
      <c r="DH25" s="30">
        <v>70</v>
      </c>
      <c r="DI25" s="30"/>
      <c r="DJ25" s="30"/>
      <c r="DK25" s="30"/>
      <c r="DL25" s="30"/>
      <c r="DM25" s="30"/>
      <c r="DN25" s="30"/>
      <c r="DO25" s="30"/>
      <c r="DP25" s="33">
        <v>20</v>
      </c>
      <c r="DQ25" s="33">
        <v>29</v>
      </c>
      <c r="DR25" s="33">
        <v>28.333333333333332</v>
      </c>
      <c r="DS25" s="33">
        <v>17.5</v>
      </c>
      <c r="DT25" s="33">
        <v>33.333333333333336</v>
      </c>
      <c r="DU25" s="33">
        <v>18.75</v>
      </c>
      <c r="DV25" s="30" t="s">
        <v>235</v>
      </c>
      <c r="DW25" s="33">
        <v>0</v>
      </c>
      <c r="DX25" s="30">
        <v>25</v>
      </c>
      <c r="DY25" s="30">
        <v>100</v>
      </c>
      <c r="DZ25" s="30">
        <v>20</v>
      </c>
      <c r="EA25" s="30">
        <v>35</v>
      </c>
      <c r="EB25" s="30">
        <v>25</v>
      </c>
      <c r="EC25" s="30">
        <v>10</v>
      </c>
      <c r="ED25" s="30">
        <v>15</v>
      </c>
      <c r="EE25" s="30">
        <v>20</v>
      </c>
      <c r="EF25" s="33">
        <v>23.75</v>
      </c>
      <c r="EG25" s="30">
        <v>65</v>
      </c>
      <c r="EH25" s="30">
        <v>70</v>
      </c>
      <c r="EI25" s="30">
        <v>65</v>
      </c>
      <c r="EJ25" s="30">
        <v>35</v>
      </c>
      <c r="EK25" s="30">
        <v>20</v>
      </c>
      <c r="EL25" s="30">
        <v>25</v>
      </c>
      <c r="EM25" s="30">
        <v>30</v>
      </c>
      <c r="EN25" s="30">
        <v>95</v>
      </c>
      <c r="EO25" s="30"/>
      <c r="EP25" s="30"/>
      <c r="EQ25" s="30"/>
      <c r="ER25" s="30"/>
      <c r="ES25" s="30"/>
      <c r="ET25" s="30"/>
      <c r="EU25" s="30"/>
      <c r="EV25" s="33">
        <v>38.75</v>
      </c>
      <c r="EW25" s="33">
        <v>49</v>
      </c>
      <c r="EX25" s="33">
        <v>66.666666666666671</v>
      </c>
      <c r="EY25" s="33">
        <v>27.5</v>
      </c>
      <c r="EZ25" s="33">
        <v>50</v>
      </c>
      <c r="FA25" s="33">
        <v>36.25</v>
      </c>
      <c r="FB25" s="30" t="s">
        <v>235</v>
      </c>
      <c r="FC25" s="33">
        <v>1</v>
      </c>
      <c r="FD25" s="30">
        <v>40</v>
      </c>
      <c r="FE25" s="30">
        <v>100</v>
      </c>
      <c r="FF25" s="30" t="s">
        <v>892</v>
      </c>
      <c r="FG25" s="30" t="s">
        <v>893</v>
      </c>
      <c r="FH25" s="30"/>
      <c r="FI25" s="32">
        <v>44895</v>
      </c>
      <c r="FJ25" s="30">
        <f t="shared" si="6"/>
        <v>414</v>
      </c>
      <c r="FK25" s="30"/>
      <c r="FL25" s="30">
        <v>45</v>
      </c>
      <c r="FM25" s="30">
        <v>40</v>
      </c>
      <c r="FN25" s="30">
        <v>25</v>
      </c>
      <c r="FO25" s="30">
        <v>10</v>
      </c>
      <c r="FP25" s="30">
        <v>10</v>
      </c>
      <c r="FQ25" s="30">
        <v>5</v>
      </c>
      <c r="FR25" s="33">
        <v>25</v>
      </c>
      <c r="FS25" s="30">
        <v>50</v>
      </c>
      <c r="FT25" s="30">
        <v>45</v>
      </c>
      <c r="FU25" s="30">
        <v>40</v>
      </c>
      <c r="FV25" s="30">
        <v>25</v>
      </c>
      <c r="FW25" s="30">
        <v>10</v>
      </c>
      <c r="FX25" s="30">
        <v>20</v>
      </c>
      <c r="FY25" s="30">
        <v>20</v>
      </c>
      <c r="FZ25" s="30">
        <v>70</v>
      </c>
      <c r="GA25" s="30"/>
      <c r="GB25" s="30"/>
      <c r="GC25" s="30"/>
      <c r="GD25" s="30"/>
      <c r="GE25" s="30"/>
      <c r="GF25" s="30"/>
      <c r="GG25" s="30"/>
      <c r="GH25" s="33">
        <v>25</v>
      </c>
      <c r="GI25" s="33">
        <v>33</v>
      </c>
      <c r="GJ25" s="33">
        <v>45</v>
      </c>
      <c r="GK25" s="33">
        <v>17.5</v>
      </c>
      <c r="GL25" s="33">
        <v>36.666666666666664</v>
      </c>
      <c r="GM25" s="33">
        <v>23.75</v>
      </c>
      <c r="GN25" s="30" t="s">
        <v>235</v>
      </c>
      <c r="GO25" s="33">
        <v>1</v>
      </c>
      <c r="GP25" s="30">
        <v>30</v>
      </c>
      <c r="GQ25" s="30">
        <v>96</v>
      </c>
      <c r="GR25" s="30">
        <v>45</v>
      </c>
      <c r="GS25" s="30">
        <v>50</v>
      </c>
      <c r="GT25" s="30">
        <v>30</v>
      </c>
      <c r="GU25" s="30">
        <v>15</v>
      </c>
      <c r="GV25" s="30">
        <v>15</v>
      </c>
      <c r="GW25" s="30">
        <v>15</v>
      </c>
      <c r="GX25" s="30">
        <v>31.25</v>
      </c>
      <c r="GY25" s="30">
        <v>55</v>
      </c>
      <c r="GZ25" s="30">
        <v>55</v>
      </c>
      <c r="HA25" s="30">
        <v>55</v>
      </c>
      <c r="HB25" s="30">
        <v>30</v>
      </c>
      <c r="HC25" s="30">
        <v>15</v>
      </c>
      <c r="HD25" s="30">
        <v>25</v>
      </c>
      <c r="HE25" s="30">
        <v>35</v>
      </c>
      <c r="HF25" s="30">
        <v>95</v>
      </c>
      <c r="HG25" s="30"/>
      <c r="HH25" s="30"/>
      <c r="HI25" s="30"/>
      <c r="HJ25" s="30"/>
      <c r="HK25" s="30"/>
      <c r="HL25" s="30"/>
      <c r="HM25" s="30"/>
      <c r="HN25" s="30">
        <v>32.5</v>
      </c>
      <c r="HO25" s="30">
        <v>46</v>
      </c>
      <c r="HP25" s="30">
        <v>55</v>
      </c>
      <c r="HQ25" s="30">
        <v>22.5</v>
      </c>
      <c r="HR25" s="30">
        <v>51.666666666666664</v>
      </c>
      <c r="HS25" s="30">
        <v>31.25</v>
      </c>
      <c r="HT25" s="30">
        <f>HS25-CI25</f>
        <v>-16.25</v>
      </c>
      <c r="HU25" s="30" t="s">
        <v>235</v>
      </c>
      <c r="HV25" s="30">
        <v>1</v>
      </c>
      <c r="HW25" s="30">
        <v>35</v>
      </c>
      <c r="HX25" s="30">
        <v>80</v>
      </c>
      <c r="HY25" s="30" t="s">
        <v>894</v>
      </c>
      <c r="HZ25" s="30" t="s">
        <v>895</v>
      </c>
      <c r="IA25" s="30"/>
      <c r="IB25" s="51"/>
      <c r="IC25" s="84">
        <f t="shared" si="7"/>
        <v>-44481</v>
      </c>
      <c r="ID25" s="30"/>
      <c r="IE25" s="30"/>
      <c r="IF25" s="30"/>
      <c r="IG25" s="30"/>
      <c r="IH25" s="30"/>
      <c r="II25" s="30"/>
      <c r="IJ25" s="30"/>
      <c r="IK25" s="30">
        <v>0</v>
      </c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>
        <v>0</v>
      </c>
      <c r="JB25" s="30" t="e">
        <v>#DIV/0!</v>
      </c>
      <c r="JC25" s="30" t="e">
        <v>#DIV/0!</v>
      </c>
      <c r="JD25" s="30" t="e">
        <v>#DIV/0!</v>
      </c>
      <c r="JE25" s="30" t="e">
        <v>#DIV/0!</v>
      </c>
      <c r="JF25" s="30" t="e">
        <v>#DIV/0!</v>
      </c>
      <c r="JG25" s="30" t="e">
        <v>#DIV/0!</v>
      </c>
      <c r="JH25" s="30" t="e">
        <v>#DIV/0!</v>
      </c>
      <c r="JI25" s="30"/>
      <c r="JJ25" s="30"/>
      <c r="JK25" s="30"/>
      <c r="JL25" s="30"/>
      <c r="JM25" s="30"/>
      <c r="JN25" s="30"/>
      <c r="JO25" s="30"/>
      <c r="JP25" s="30"/>
      <c r="JQ25" s="30">
        <v>0</v>
      </c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>
        <v>0</v>
      </c>
      <c r="KH25" s="30" t="e">
        <v>#DIV/0!</v>
      </c>
      <c r="KI25" s="30" t="e">
        <v>#DIV/0!</v>
      </c>
      <c r="KJ25" s="30" t="e">
        <v>#DIV/0!</v>
      </c>
      <c r="KK25" s="30" t="e">
        <v>#DIV/0!</v>
      </c>
      <c r="KL25" s="30" t="e">
        <v>#DIV/0!</v>
      </c>
      <c r="KM25" s="30" t="e">
        <v>#DIV/0!</v>
      </c>
      <c r="KN25" s="30" t="e">
        <v>#DIV/0!</v>
      </c>
      <c r="KO25" s="30"/>
      <c r="KP25" s="30"/>
      <c r="KQ25" s="30"/>
      <c r="KR25" s="30"/>
    </row>
    <row r="26" spans="1:305" hidden="1">
      <c r="A26" s="1" t="s">
        <v>928</v>
      </c>
      <c r="B26" s="91">
        <v>52</v>
      </c>
      <c r="C26" s="95" t="str">
        <f>LOOKUP(B26,{0,20,30,40,50,60},{"10","20","30","40","50","60","70","80","90"})</f>
        <v>50</v>
      </c>
      <c r="D26" s="91" t="s">
        <v>889</v>
      </c>
      <c r="E26" s="1"/>
      <c r="F26" s="99">
        <v>44412</v>
      </c>
      <c r="G26" s="100"/>
      <c r="H26" s="95" t="s">
        <v>115</v>
      </c>
      <c r="I26" s="92">
        <v>44488</v>
      </c>
      <c r="J26" s="1"/>
      <c r="K26" s="91" t="s">
        <v>727</v>
      </c>
      <c r="L26" s="100"/>
      <c r="M26" s="100"/>
      <c r="N26" s="100"/>
      <c r="O26" s="99">
        <v>44487</v>
      </c>
      <c r="P26" s="99"/>
      <c r="Q26" s="99"/>
      <c r="R26" s="99"/>
      <c r="S26" s="92">
        <v>44599</v>
      </c>
      <c r="T26" s="92">
        <v>44683</v>
      </c>
      <c r="U26" s="92"/>
      <c r="V26" s="92"/>
      <c r="W26" s="92"/>
      <c r="X26" s="92">
        <v>44872</v>
      </c>
      <c r="Y26" s="92">
        <v>44487</v>
      </c>
      <c r="Z26" s="30">
        <f t="shared" si="4"/>
        <v>-1</v>
      </c>
      <c r="AA26" s="30"/>
      <c r="AB26" s="30">
        <v>25</v>
      </c>
      <c r="AC26" s="30">
        <v>40</v>
      </c>
      <c r="AD26" s="30">
        <v>5</v>
      </c>
      <c r="AE26" s="30">
        <v>10</v>
      </c>
      <c r="AF26" s="30">
        <v>15</v>
      </c>
      <c r="AG26" s="30">
        <v>10</v>
      </c>
      <c r="AH26" s="33">
        <v>15</v>
      </c>
      <c r="AI26" s="30">
        <v>55</v>
      </c>
      <c r="AJ26" s="30">
        <v>50</v>
      </c>
      <c r="AK26" s="30">
        <v>45</v>
      </c>
      <c r="AL26" s="30">
        <v>25</v>
      </c>
      <c r="AM26" s="30">
        <v>35</v>
      </c>
      <c r="AN26" s="30">
        <v>35</v>
      </c>
      <c r="AO26" s="30">
        <v>35</v>
      </c>
      <c r="AP26" s="30">
        <v>40</v>
      </c>
      <c r="AQ26" s="31" t="s">
        <v>234</v>
      </c>
      <c r="AR26" s="31" t="s">
        <v>234</v>
      </c>
      <c r="AS26" s="31" t="s">
        <v>234</v>
      </c>
      <c r="AT26" s="31" t="s">
        <v>234</v>
      </c>
      <c r="AU26" s="31" t="s">
        <v>234</v>
      </c>
      <c r="AV26" s="31" t="s">
        <v>234</v>
      </c>
      <c r="AW26" s="31" t="s">
        <v>234</v>
      </c>
      <c r="AX26" s="33">
        <v>32.5</v>
      </c>
      <c r="AY26" s="33">
        <v>36</v>
      </c>
      <c r="AZ26" s="33">
        <v>50</v>
      </c>
      <c r="BA26" s="33">
        <v>30</v>
      </c>
      <c r="BB26" s="33">
        <v>36.666666666666664</v>
      </c>
      <c r="BC26" s="33">
        <v>35</v>
      </c>
      <c r="BD26" s="34">
        <v>1</v>
      </c>
      <c r="BE26" s="33">
        <v>1</v>
      </c>
      <c r="BF26" s="30">
        <v>40</v>
      </c>
      <c r="BG26" s="30">
        <v>100</v>
      </c>
      <c r="BH26" s="30">
        <v>20</v>
      </c>
      <c r="BI26" s="30">
        <v>20</v>
      </c>
      <c r="BJ26" s="30">
        <v>5</v>
      </c>
      <c r="BK26" s="30">
        <v>15</v>
      </c>
      <c r="BL26" s="30">
        <v>10</v>
      </c>
      <c r="BM26" s="30">
        <v>25</v>
      </c>
      <c r="BN26" s="33">
        <v>11.25</v>
      </c>
      <c r="BO26" s="30">
        <v>25</v>
      </c>
      <c r="BP26" s="30">
        <v>20</v>
      </c>
      <c r="BQ26" s="30">
        <v>20</v>
      </c>
      <c r="BR26" s="30">
        <v>20</v>
      </c>
      <c r="BS26" s="30">
        <v>15</v>
      </c>
      <c r="BT26" s="30">
        <v>10</v>
      </c>
      <c r="BU26" s="30">
        <v>25</v>
      </c>
      <c r="BV26" s="30">
        <v>15</v>
      </c>
      <c r="BW26" s="31" t="s">
        <v>234</v>
      </c>
      <c r="BX26" s="31" t="s">
        <v>234</v>
      </c>
      <c r="BY26" s="31" t="s">
        <v>234</v>
      </c>
      <c r="BZ26" s="31" t="s">
        <v>234</v>
      </c>
      <c r="CA26" s="31" t="s">
        <v>234</v>
      </c>
      <c r="CB26" s="31" t="s">
        <v>234</v>
      </c>
      <c r="CC26" s="31" t="s">
        <v>234</v>
      </c>
      <c r="CD26" s="33">
        <v>18.75</v>
      </c>
      <c r="CE26" s="33">
        <v>19</v>
      </c>
      <c r="CF26" s="33">
        <v>21.666666666666668</v>
      </c>
      <c r="CG26" s="33">
        <v>17.5</v>
      </c>
      <c r="CH26" s="33">
        <v>16.666666666666668</v>
      </c>
      <c r="CI26" s="33">
        <v>16.25</v>
      </c>
      <c r="CJ26" s="30">
        <v>1</v>
      </c>
      <c r="CK26" s="33">
        <v>0</v>
      </c>
      <c r="CL26" s="30">
        <v>20</v>
      </c>
      <c r="CM26" s="30">
        <v>100</v>
      </c>
      <c r="CN26" s="31" t="s">
        <v>896</v>
      </c>
      <c r="CO26" s="31" t="s">
        <v>897</v>
      </c>
      <c r="CP26" s="30"/>
      <c r="CQ26" s="32">
        <v>44599</v>
      </c>
      <c r="CR26" s="30">
        <f t="shared" si="5"/>
        <v>111</v>
      </c>
      <c r="CS26" s="30"/>
      <c r="CT26" s="30">
        <v>0</v>
      </c>
      <c r="CU26" s="30">
        <v>0</v>
      </c>
      <c r="CV26" s="30">
        <v>0</v>
      </c>
      <c r="CW26" s="30">
        <v>15</v>
      </c>
      <c r="CX26" s="30">
        <v>30</v>
      </c>
      <c r="CY26" s="30">
        <v>10</v>
      </c>
      <c r="CZ26" s="33">
        <v>3.75</v>
      </c>
      <c r="DA26" s="30">
        <v>30</v>
      </c>
      <c r="DB26" s="30">
        <v>25</v>
      </c>
      <c r="DC26" s="30">
        <v>25</v>
      </c>
      <c r="DD26" s="30">
        <v>20</v>
      </c>
      <c r="DE26" s="30">
        <v>15</v>
      </c>
      <c r="DF26" s="30">
        <v>30</v>
      </c>
      <c r="DG26" s="30">
        <v>30</v>
      </c>
      <c r="DH26" s="30">
        <v>30</v>
      </c>
      <c r="DI26" s="30"/>
      <c r="DJ26" s="30"/>
      <c r="DK26" s="30"/>
      <c r="DL26" s="30"/>
      <c r="DM26" s="30"/>
      <c r="DN26" s="30"/>
      <c r="DO26" s="30"/>
      <c r="DP26" s="33">
        <v>20</v>
      </c>
      <c r="DQ26" s="33">
        <v>24</v>
      </c>
      <c r="DR26" s="33">
        <v>26.666666666666668</v>
      </c>
      <c r="DS26" s="33">
        <v>17.5</v>
      </c>
      <c r="DT26" s="33">
        <v>30</v>
      </c>
      <c r="DU26" s="33">
        <v>22.5</v>
      </c>
      <c r="DV26" s="30" t="s">
        <v>235</v>
      </c>
      <c r="DW26" s="33">
        <v>1</v>
      </c>
      <c r="DX26" s="30">
        <v>25</v>
      </c>
      <c r="DY26" s="30">
        <v>100</v>
      </c>
      <c r="DZ26" s="30">
        <v>15</v>
      </c>
      <c r="EA26" s="30">
        <v>15</v>
      </c>
      <c r="EB26" s="30">
        <v>0</v>
      </c>
      <c r="EC26" s="30">
        <v>10</v>
      </c>
      <c r="ED26" s="30">
        <v>10</v>
      </c>
      <c r="EE26" s="30">
        <v>20</v>
      </c>
      <c r="EF26" s="33">
        <v>6.25</v>
      </c>
      <c r="EG26" s="30">
        <v>35</v>
      </c>
      <c r="EH26" s="30">
        <v>35</v>
      </c>
      <c r="EI26" s="30">
        <v>15</v>
      </c>
      <c r="EJ26" s="30">
        <v>15</v>
      </c>
      <c r="EK26" s="30">
        <v>10</v>
      </c>
      <c r="EL26" s="30">
        <v>10</v>
      </c>
      <c r="EM26" s="30">
        <v>20</v>
      </c>
      <c r="EN26" s="30">
        <v>10</v>
      </c>
      <c r="EO26" s="30"/>
      <c r="EP26" s="30"/>
      <c r="EQ26" s="30"/>
      <c r="ER26" s="30"/>
      <c r="ES26" s="30"/>
      <c r="ET26" s="30"/>
      <c r="EU26" s="30"/>
      <c r="EV26" s="33">
        <v>13.75</v>
      </c>
      <c r="EW26" s="33">
        <v>14</v>
      </c>
      <c r="EX26" s="33">
        <v>28.333333333333332</v>
      </c>
      <c r="EY26" s="33">
        <v>12.5</v>
      </c>
      <c r="EZ26" s="33">
        <v>13.333333333333334</v>
      </c>
      <c r="FA26" s="33">
        <v>12.5</v>
      </c>
      <c r="FB26" s="30">
        <v>1</v>
      </c>
      <c r="FC26" s="33">
        <v>0</v>
      </c>
      <c r="FD26" s="30">
        <v>20</v>
      </c>
      <c r="FE26" s="30">
        <v>100</v>
      </c>
      <c r="FF26" s="30" t="s">
        <v>898</v>
      </c>
      <c r="FG26" s="30" t="s">
        <v>899</v>
      </c>
      <c r="FH26" s="30"/>
      <c r="FI26" s="32">
        <v>44683</v>
      </c>
      <c r="FJ26" s="30">
        <f t="shared" si="6"/>
        <v>195</v>
      </c>
      <c r="FK26" s="30"/>
      <c r="FL26" s="30">
        <v>25</v>
      </c>
      <c r="FM26" s="30">
        <v>20</v>
      </c>
      <c r="FN26" s="30">
        <v>10</v>
      </c>
      <c r="FO26" s="30">
        <v>15</v>
      </c>
      <c r="FP26" s="30">
        <v>15</v>
      </c>
      <c r="FQ26" s="30">
        <v>15</v>
      </c>
      <c r="FR26" s="33">
        <v>13.75</v>
      </c>
      <c r="FS26" s="30">
        <v>30</v>
      </c>
      <c r="FT26" s="30">
        <v>25</v>
      </c>
      <c r="FU26" s="30">
        <v>25</v>
      </c>
      <c r="FV26" s="30">
        <v>20</v>
      </c>
      <c r="FW26" s="30">
        <v>20</v>
      </c>
      <c r="FX26" s="30">
        <v>20</v>
      </c>
      <c r="FY26" s="30">
        <v>30</v>
      </c>
      <c r="FZ26" s="30">
        <v>40</v>
      </c>
      <c r="GA26" s="30"/>
      <c r="GB26" s="30"/>
      <c r="GC26" s="30"/>
      <c r="GD26" s="30"/>
      <c r="GE26" s="30"/>
      <c r="GF26" s="30"/>
      <c r="GG26" s="30"/>
      <c r="GH26" s="33">
        <v>21.25</v>
      </c>
      <c r="GI26" s="33">
        <v>27</v>
      </c>
      <c r="GJ26" s="33">
        <v>26.666666666666668</v>
      </c>
      <c r="GK26" s="33">
        <v>20</v>
      </c>
      <c r="GL26" s="33">
        <v>30</v>
      </c>
      <c r="GM26" s="33">
        <v>21.25</v>
      </c>
      <c r="GN26" s="30" t="s">
        <v>235</v>
      </c>
      <c r="GO26" s="33">
        <v>1</v>
      </c>
      <c r="GP26" s="30">
        <v>20</v>
      </c>
      <c r="GQ26" s="30">
        <v>100</v>
      </c>
      <c r="GR26" s="30">
        <v>30</v>
      </c>
      <c r="GS26" s="30">
        <v>25</v>
      </c>
      <c r="GT26" s="30">
        <v>10</v>
      </c>
      <c r="GU26" s="30">
        <v>20</v>
      </c>
      <c r="GV26" s="30">
        <v>15</v>
      </c>
      <c r="GW26" s="30">
        <v>25</v>
      </c>
      <c r="GX26" s="30">
        <v>16.25</v>
      </c>
      <c r="GY26" s="30">
        <v>35</v>
      </c>
      <c r="GZ26" s="30">
        <v>30</v>
      </c>
      <c r="HA26" s="30">
        <v>25</v>
      </c>
      <c r="HB26" s="30">
        <v>15</v>
      </c>
      <c r="HC26" s="30">
        <v>20</v>
      </c>
      <c r="HD26" s="30">
        <v>15</v>
      </c>
      <c r="HE26" s="30">
        <v>25</v>
      </c>
      <c r="HF26" s="30">
        <v>5</v>
      </c>
      <c r="HG26" s="30"/>
      <c r="HH26" s="30"/>
      <c r="HI26" s="30"/>
      <c r="HJ26" s="30"/>
      <c r="HK26" s="30"/>
      <c r="HL26" s="30"/>
      <c r="HM26" s="30"/>
      <c r="HN26" s="30">
        <v>18.75</v>
      </c>
      <c r="HO26" s="30">
        <v>18</v>
      </c>
      <c r="HP26" s="30">
        <v>30</v>
      </c>
      <c r="HQ26" s="30">
        <v>17.5</v>
      </c>
      <c r="HR26" s="30">
        <v>15</v>
      </c>
      <c r="HS26" s="30">
        <v>18.75</v>
      </c>
      <c r="HT26" s="30"/>
      <c r="HU26" s="30">
        <v>1</v>
      </c>
      <c r="HV26" s="30">
        <v>0</v>
      </c>
      <c r="HW26" s="30">
        <v>20</v>
      </c>
      <c r="HX26" s="30">
        <v>100</v>
      </c>
      <c r="HY26" s="30" t="s">
        <v>900</v>
      </c>
      <c r="HZ26" s="30" t="s">
        <v>901</v>
      </c>
      <c r="IA26" s="30"/>
      <c r="IB26" s="32">
        <v>44872</v>
      </c>
      <c r="IC26" s="84">
        <f t="shared" si="7"/>
        <v>384</v>
      </c>
      <c r="ID26" s="30"/>
      <c r="IE26" s="30">
        <v>25</v>
      </c>
      <c r="IF26" s="30">
        <v>20</v>
      </c>
      <c r="IG26" s="30">
        <v>0</v>
      </c>
      <c r="IH26" s="30">
        <v>10</v>
      </c>
      <c r="II26" s="30">
        <v>15</v>
      </c>
      <c r="IJ26" s="30">
        <v>5</v>
      </c>
      <c r="IK26" s="30">
        <v>7.5</v>
      </c>
      <c r="IL26" s="30">
        <v>25</v>
      </c>
      <c r="IM26" s="30">
        <v>25</v>
      </c>
      <c r="IN26" s="30">
        <v>20</v>
      </c>
      <c r="IO26" s="30">
        <v>10</v>
      </c>
      <c r="IP26" s="30">
        <v>10</v>
      </c>
      <c r="IQ26" s="30">
        <v>15</v>
      </c>
      <c r="IR26" s="30">
        <v>25</v>
      </c>
      <c r="IS26" s="30">
        <v>40</v>
      </c>
      <c r="IT26" s="30"/>
      <c r="IU26" s="30"/>
      <c r="IV26" s="30"/>
      <c r="IW26" s="30"/>
      <c r="IX26" s="30"/>
      <c r="IY26" s="30"/>
      <c r="IZ26" s="30"/>
      <c r="JA26" s="30">
        <v>12.5</v>
      </c>
      <c r="JB26" s="30">
        <v>21</v>
      </c>
      <c r="JC26" s="30">
        <v>23.333333333333332</v>
      </c>
      <c r="JD26" s="30">
        <v>10</v>
      </c>
      <c r="JE26" s="30">
        <v>26.666666666666668</v>
      </c>
      <c r="JF26" s="30">
        <v>13.75</v>
      </c>
      <c r="JG26" s="30" t="s">
        <v>235</v>
      </c>
      <c r="JH26" s="30">
        <v>0</v>
      </c>
      <c r="JI26" s="30">
        <v>20</v>
      </c>
      <c r="JJ26" s="30">
        <v>100</v>
      </c>
      <c r="JK26" s="30">
        <v>20</v>
      </c>
      <c r="JL26" s="30">
        <v>20</v>
      </c>
      <c r="JM26" s="30">
        <v>5</v>
      </c>
      <c r="JN26" s="30">
        <v>15</v>
      </c>
      <c r="JO26" s="30">
        <v>10</v>
      </c>
      <c r="JP26" s="30">
        <v>20</v>
      </c>
      <c r="JQ26" s="30">
        <v>11.25</v>
      </c>
      <c r="JR26" s="30">
        <v>35</v>
      </c>
      <c r="JS26" s="30">
        <v>30</v>
      </c>
      <c r="JT26" s="30">
        <v>20</v>
      </c>
      <c r="JU26" s="30">
        <v>15</v>
      </c>
      <c r="JV26" s="30">
        <v>15</v>
      </c>
      <c r="JW26" s="30">
        <v>20</v>
      </c>
      <c r="JX26" s="30">
        <v>35</v>
      </c>
      <c r="JY26" s="30">
        <v>15</v>
      </c>
      <c r="JZ26" s="30"/>
      <c r="KA26" s="30"/>
      <c r="KB26" s="30"/>
      <c r="KC26" s="30"/>
      <c r="KD26" s="30"/>
      <c r="KE26" s="30"/>
      <c r="KF26" s="30"/>
      <c r="KG26" s="30">
        <v>16.25</v>
      </c>
      <c r="KH26" s="30">
        <v>20</v>
      </c>
      <c r="KI26" s="30">
        <v>28.333333333333332</v>
      </c>
      <c r="KJ26" s="30">
        <v>15</v>
      </c>
      <c r="KK26" s="30">
        <v>23.333333333333332</v>
      </c>
      <c r="KL26" s="30">
        <v>17.5</v>
      </c>
      <c r="KM26" s="30">
        <v>1</v>
      </c>
      <c r="KN26" s="30">
        <v>0</v>
      </c>
      <c r="KO26" s="30">
        <v>30</v>
      </c>
      <c r="KP26" s="30">
        <v>100</v>
      </c>
      <c r="KQ26" s="30" t="s">
        <v>902</v>
      </c>
      <c r="KR26" s="30" t="s">
        <v>903</v>
      </c>
    </row>
    <row r="27" spans="1:305" hidden="1">
      <c r="A27" s="1" t="s">
        <v>929</v>
      </c>
      <c r="B27" s="91">
        <v>60</v>
      </c>
      <c r="C27" s="95" t="str">
        <f>LOOKUP(B27,{0,20,30,40,50,60},{"10","20","30","40","50","60","70","80","90"})</f>
        <v>60</v>
      </c>
      <c r="D27" s="91" t="s">
        <v>888</v>
      </c>
      <c r="E27" s="1"/>
      <c r="F27" s="99">
        <v>44475</v>
      </c>
      <c r="G27" s="100"/>
      <c r="H27" s="95" t="s">
        <v>115</v>
      </c>
      <c r="I27" s="92">
        <v>44497</v>
      </c>
      <c r="J27" s="1"/>
      <c r="K27" s="91" t="s">
        <v>728</v>
      </c>
      <c r="L27" s="100"/>
      <c r="M27" s="100"/>
      <c r="N27" s="100"/>
      <c r="O27" s="99">
        <v>44496</v>
      </c>
      <c r="P27" s="99"/>
      <c r="Q27" s="99"/>
      <c r="R27" s="99"/>
      <c r="S27" s="92">
        <v>44606</v>
      </c>
      <c r="T27" s="92">
        <v>44697</v>
      </c>
      <c r="U27" s="92"/>
      <c r="V27" s="92"/>
      <c r="W27" s="92"/>
      <c r="X27" s="92">
        <v>44832</v>
      </c>
      <c r="Y27" s="92">
        <v>44475</v>
      </c>
      <c r="Z27" s="30">
        <f t="shared" si="4"/>
        <v>-22</v>
      </c>
      <c r="AA27" s="30"/>
      <c r="AB27" s="30">
        <v>55</v>
      </c>
      <c r="AC27" s="30">
        <v>65</v>
      </c>
      <c r="AD27" s="30">
        <v>65</v>
      </c>
      <c r="AE27" s="30">
        <v>65</v>
      </c>
      <c r="AF27" s="30">
        <v>60</v>
      </c>
      <c r="AG27" s="30">
        <v>60</v>
      </c>
      <c r="AH27" s="33">
        <v>65</v>
      </c>
      <c r="AI27" s="30">
        <v>70</v>
      </c>
      <c r="AJ27" s="30">
        <v>70</v>
      </c>
      <c r="AK27" s="30">
        <v>75</v>
      </c>
      <c r="AL27" s="30">
        <v>65</v>
      </c>
      <c r="AM27" s="30">
        <v>65</v>
      </c>
      <c r="AN27" s="30">
        <v>65</v>
      </c>
      <c r="AO27" s="30">
        <v>75</v>
      </c>
      <c r="AP27" s="30">
        <v>95</v>
      </c>
      <c r="AQ27" s="31" t="s">
        <v>234</v>
      </c>
      <c r="AR27" s="31" t="s">
        <v>234</v>
      </c>
      <c r="AS27" s="31" t="s">
        <v>234</v>
      </c>
      <c r="AT27" s="31" t="s">
        <v>234</v>
      </c>
      <c r="AU27" s="31" t="s">
        <v>234</v>
      </c>
      <c r="AV27" s="31" t="s">
        <v>234</v>
      </c>
      <c r="AW27" s="31" t="s">
        <v>234</v>
      </c>
      <c r="AX27" s="33">
        <v>67.5</v>
      </c>
      <c r="AY27" s="33">
        <v>75</v>
      </c>
      <c r="AZ27" s="33">
        <v>71.666666666666671</v>
      </c>
      <c r="BA27" s="33">
        <v>65</v>
      </c>
      <c r="BB27" s="33">
        <v>78.333333333333329</v>
      </c>
      <c r="BC27" s="33">
        <v>67.5</v>
      </c>
      <c r="BD27" s="34">
        <v>3</v>
      </c>
      <c r="BE27" s="33">
        <v>3</v>
      </c>
      <c r="BF27" s="30">
        <v>70</v>
      </c>
      <c r="BG27" s="30">
        <v>100</v>
      </c>
      <c r="BH27" s="30">
        <v>50</v>
      </c>
      <c r="BI27" s="30">
        <v>55</v>
      </c>
      <c r="BJ27" s="30">
        <v>60</v>
      </c>
      <c r="BK27" s="30">
        <v>40</v>
      </c>
      <c r="BL27" s="30">
        <v>50</v>
      </c>
      <c r="BM27" s="30">
        <v>50</v>
      </c>
      <c r="BN27" s="33">
        <v>53.75</v>
      </c>
      <c r="BO27" s="30">
        <v>50</v>
      </c>
      <c r="BP27" s="30">
        <v>50</v>
      </c>
      <c r="BQ27" s="30">
        <v>55</v>
      </c>
      <c r="BR27" s="30">
        <v>60</v>
      </c>
      <c r="BS27" s="30">
        <v>40</v>
      </c>
      <c r="BT27" s="30">
        <v>50</v>
      </c>
      <c r="BU27" s="30">
        <v>70</v>
      </c>
      <c r="BV27" s="30">
        <v>65</v>
      </c>
      <c r="BW27" s="31" t="s">
        <v>234</v>
      </c>
      <c r="BX27" s="31" t="s">
        <v>234</v>
      </c>
      <c r="BY27" s="31" t="s">
        <v>234</v>
      </c>
      <c r="BZ27" s="31" t="s">
        <v>234</v>
      </c>
      <c r="CA27" s="31" t="s">
        <v>234</v>
      </c>
      <c r="CB27" s="31" t="s">
        <v>234</v>
      </c>
      <c r="CC27" s="31" t="s">
        <v>234</v>
      </c>
      <c r="CD27" s="33">
        <v>53.75</v>
      </c>
      <c r="CE27" s="33">
        <v>58</v>
      </c>
      <c r="CF27" s="33">
        <v>51.666666666666664</v>
      </c>
      <c r="CG27" s="33">
        <v>50</v>
      </c>
      <c r="CH27" s="33">
        <v>61.666666666666664</v>
      </c>
      <c r="CI27" s="33">
        <v>51.25</v>
      </c>
      <c r="CJ27" s="31" t="s">
        <v>235</v>
      </c>
      <c r="CK27" s="33">
        <v>2</v>
      </c>
      <c r="CL27" s="30">
        <v>50</v>
      </c>
      <c r="CM27" s="30">
        <v>100</v>
      </c>
      <c r="CN27" s="31" t="s">
        <v>904</v>
      </c>
      <c r="CO27" s="31" t="s">
        <v>905</v>
      </c>
      <c r="CP27" s="30"/>
      <c r="CQ27" s="32">
        <v>44578</v>
      </c>
      <c r="CR27" s="30">
        <f t="shared" si="5"/>
        <v>81</v>
      </c>
      <c r="CS27" s="30"/>
      <c r="CT27" s="30" t="s">
        <v>277</v>
      </c>
      <c r="CU27" s="30" t="s">
        <v>277</v>
      </c>
      <c r="CV27" s="30" t="s">
        <v>277</v>
      </c>
      <c r="CW27" s="30" t="s">
        <v>277</v>
      </c>
      <c r="CX27" s="30" t="s">
        <v>277</v>
      </c>
      <c r="CY27" s="30" t="s">
        <v>277</v>
      </c>
      <c r="CZ27" s="33" t="e">
        <v>#VALUE!</v>
      </c>
      <c r="DA27" s="30">
        <v>70</v>
      </c>
      <c r="DB27" s="30">
        <v>75</v>
      </c>
      <c r="DC27" s="30">
        <v>70</v>
      </c>
      <c r="DD27" s="30">
        <v>70</v>
      </c>
      <c r="DE27" s="30">
        <v>70</v>
      </c>
      <c r="DF27" s="30">
        <v>65</v>
      </c>
      <c r="DG27" s="30">
        <v>85</v>
      </c>
      <c r="DH27" s="30">
        <v>95</v>
      </c>
      <c r="DI27" s="30"/>
      <c r="DJ27" s="30"/>
      <c r="DK27" s="30"/>
      <c r="DL27" s="30"/>
      <c r="DM27" s="30"/>
      <c r="DN27" s="30"/>
      <c r="DO27" s="30"/>
      <c r="DP27" s="33">
        <v>70</v>
      </c>
      <c r="DQ27" s="33">
        <v>78</v>
      </c>
      <c r="DR27" s="33">
        <v>71.666666666666671</v>
      </c>
      <c r="DS27" s="33">
        <v>70</v>
      </c>
      <c r="DT27" s="33">
        <v>81.666666666666671</v>
      </c>
      <c r="DU27" s="33">
        <v>68.75</v>
      </c>
      <c r="DV27" s="30">
        <v>3</v>
      </c>
      <c r="DW27" s="33">
        <v>3</v>
      </c>
      <c r="DX27" s="30">
        <v>65</v>
      </c>
      <c r="DY27" s="30">
        <v>100</v>
      </c>
      <c r="DZ27" s="30">
        <v>45</v>
      </c>
      <c r="EA27" s="30">
        <v>70</v>
      </c>
      <c r="EB27" s="30">
        <v>65</v>
      </c>
      <c r="EC27" s="30">
        <v>65</v>
      </c>
      <c r="ED27" s="30">
        <v>60</v>
      </c>
      <c r="EE27" s="30">
        <v>50</v>
      </c>
      <c r="EF27" s="33">
        <v>66.25</v>
      </c>
      <c r="EG27" s="30">
        <v>75</v>
      </c>
      <c r="EH27" s="30">
        <v>80</v>
      </c>
      <c r="EI27" s="30">
        <v>80</v>
      </c>
      <c r="EJ27" s="30">
        <v>80</v>
      </c>
      <c r="EK27" s="30">
        <v>65</v>
      </c>
      <c r="EL27" s="30">
        <v>60</v>
      </c>
      <c r="EM27" s="30">
        <v>80</v>
      </c>
      <c r="EN27" s="30">
        <v>90</v>
      </c>
      <c r="EO27" s="30" t="s">
        <v>277</v>
      </c>
      <c r="EP27" s="30" t="s">
        <v>277</v>
      </c>
      <c r="EQ27" s="30" t="s">
        <v>277</v>
      </c>
      <c r="ER27" s="30" t="s">
        <v>277</v>
      </c>
      <c r="ES27" s="30" t="s">
        <v>277</v>
      </c>
      <c r="ET27" s="30" t="s">
        <v>277</v>
      </c>
      <c r="EU27" s="30" t="s">
        <v>277</v>
      </c>
      <c r="EV27" s="33">
        <v>76.25</v>
      </c>
      <c r="EW27" s="33">
        <v>79</v>
      </c>
      <c r="EX27" s="33">
        <v>78.333333333333329</v>
      </c>
      <c r="EY27" s="33">
        <v>72.5</v>
      </c>
      <c r="EZ27" s="33">
        <v>76.666666666666671</v>
      </c>
      <c r="FA27" s="33">
        <v>71.25</v>
      </c>
      <c r="FB27" s="30" t="s">
        <v>235</v>
      </c>
      <c r="FC27" s="33">
        <v>3</v>
      </c>
      <c r="FD27" s="30">
        <v>80</v>
      </c>
      <c r="FE27" s="30">
        <v>100</v>
      </c>
      <c r="FF27" s="30" t="s">
        <v>906</v>
      </c>
      <c r="FG27" s="30" t="s">
        <v>907</v>
      </c>
      <c r="FH27" s="30"/>
      <c r="FI27" s="32">
        <v>44697</v>
      </c>
      <c r="FJ27" s="30">
        <f t="shared" si="6"/>
        <v>200</v>
      </c>
      <c r="FK27" s="30"/>
      <c r="FL27" s="30">
        <v>50</v>
      </c>
      <c r="FM27" s="30">
        <v>70</v>
      </c>
      <c r="FN27" s="30">
        <v>5</v>
      </c>
      <c r="FO27" s="42">
        <v>90</v>
      </c>
      <c r="FP27" s="42">
        <v>85</v>
      </c>
      <c r="FQ27" s="42">
        <v>90</v>
      </c>
      <c r="FR27" s="33">
        <v>42.5</v>
      </c>
      <c r="FS27" s="30" t="s">
        <v>277</v>
      </c>
      <c r="FT27" s="42">
        <v>110</v>
      </c>
      <c r="FU27" s="30">
        <v>115</v>
      </c>
      <c r="FV27" s="30">
        <v>105</v>
      </c>
      <c r="FW27" s="30">
        <v>115</v>
      </c>
      <c r="FX27" s="30">
        <v>120</v>
      </c>
      <c r="FY27" s="42">
        <v>120</v>
      </c>
      <c r="FZ27" s="42">
        <v>105</v>
      </c>
      <c r="GA27" s="30"/>
      <c r="GB27" s="30"/>
      <c r="GC27" s="30"/>
      <c r="GD27" s="30"/>
      <c r="GE27" s="30"/>
      <c r="GF27" s="30"/>
      <c r="GG27" s="30"/>
      <c r="GH27" s="33">
        <v>110</v>
      </c>
      <c r="GI27" s="33">
        <v>112</v>
      </c>
      <c r="GJ27" s="33">
        <v>112.5</v>
      </c>
      <c r="GK27" s="33">
        <v>110</v>
      </c>
      <c r="GL27" s="33">
        <v>115</v>
      </c>
      <c r="GM27" s="33">
        <v>113.75</v>
      </c>
      <c r="GN27" s="30">
        <v>5</v>
      </c>
      <c r="GO27" s="33">
        <v>5</v>
      </c>
      <c r="GP27" s="30">
        <v>100</v>
      </c>
      <c r="GQ27" s="30">
        <v>0</v>
      </c>
      <c r="GR27" s="30">
        <v>50</v>
      </c>
      <c r="GS27" s="30">
        <v>75</v>
      </c>
      <c r="GT27" s="30">
        <v>70</v>
      </c>
      <c r="GU27" s="42">
        <v>90</v>
      </c>
      <c r="GV27" s="42">
        <v>85</v>
      </c>
      <c r="GW27" s="42">
        <v>90</v>
      </c>
      <c r="GX27" s="30">
        <v>76.25</v>
      </c>
      <c r="GY27" s="42">
        <v>85</v>
      </c>
      <c r="GZ27" s="42">
        <v>105</v>
      </c>
      <c r="HA27" s="42">
        <v>115</v>
      </c>
      <c r="HB27" s="30">
        <v>100</v>
      </c>
      <c r="HC27" s="30">
        <v>100</v>
      </c>
      <c r="HD27" s="30">
        <v>105</v>
      </c>
      <c r="HE27" s="42">
        <v>115</v>
      </c>
      <c r="HF27" s="42">
        <v>100</v>
      </c>
      <c r="HG27" s="30"/>
      <c r="HH27" s="30"/>
      <c r="HI27" s="30"/>
      <c r="HJ27" s="30"/>
      <c r="HK27" s="30"/>
      <c r="HL27" s="30"/>
      <c r="HM27" s="30"/>
      <c r="HN27" s="30">
        <v>103.75</v>
      </c>
      <c r="HO27" s="30">
        <v>106</v>
      </c>
      <c r="HP27" s="30">
        <v>101.66666666666667</v>
      </c>
      <c r="HQ27" s="30">
        <v>100</v>
      </c>
      <c r="HR27" s="30">
        <v>106.66666666666667</v>
      </c>
      <c r="HS27" s="30">
        <v>105</v>
      </c>
      <c r="HT27" s="30"/>
      <c r="HU27" s="30">
        <v>5</v>
      </c>
      <c r="HV27" s="30">
        <v>5</v>
      </c>
      <c r="HW27" s="30" t="s">
        <v>373</v>
      </c>
      <c r="HX27" s="30">
        <v>0</v>
      </c>
      <c r="HY27" s="30"/>
      <c r="HZ27" s="30"/>
      <c r="IA27" s="30" t="s">
        <v>908</v>
      </c>
      <c r="IB27" s="51"/>
      <c r="IC27" s="84">
        <f t="shared" si="7"/>
        <v>-44497</v>
      </c>
      <c r="ID27" s="30"/>
      <c r="IE27" s="30"/>
      <c r="IF27" s="30"/>
      <c r="IG27" s="30"/>
      <c r="IH27" s="30"/>
      <c r="II27" s="30"/>
      <c r="IJ27" s="30"/>
      <c r="IK27" s="30">
        <v>0</v>
      </c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>
        <v>0</v>
      </c>
      <c r="JB27" s="30" t="e">
        <v>#DIV/0!</v>
      </c>
      <c r="JC27" s="30" t="e">
        <v>#DIV/0!</v>
      </c>
      <c r="JD27" s="30" t="e">
        <v>#DIV/0!</v>
      </c>
      <c r="JE27" s="30" t="e">
        <v>#DIV/0!</v>
      </c>
      <c r="JF27" s="30" t="e">
        <v>#DIV/0!</v>
      </c>
      <c r="JG27" s="30" t="e">
        <v>#DIV/0!</v>
      </c>
      <c r="JH27" s="30" t="e">
        <v>#DIV/0!</v>
      </c>
      <c r="JI27" s="30"/>
      <c r="JJ27" s="30"/>
      <c r="JK27" s="30"/>
      <c r="JL27" s="30"/>
      <c r="JM27" s="30"/>
      <c r="JN27" s="30"/>
      <c r="JO27" s="30"/>
      <c r="JP27" s="30"/>
      <c r="JQ27" s="30">
        <v>0</v>
      </c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>
        <v>0</v>
      </c>
      <c r="KH27" s="30" t="e">
        <v>#DIV/0!</v>
      </c>
      <c r="KI27" s="30" t="e">
        <v>#DIV/0!</v>
      </c>
      <c r="KJ27" s="30" t="e">
        <v>#DIV/0!</v>
      </c>
      <c r="KK27" s="30" t="e">
        <v>#DIV/0!</v>
      </c>
      <c r="KL27" s="30" t="e">
        <v>#DIV/0!</v>
      </c>
      <c r="KM27" s="30" t="e">
        <v>#DIV/0!</v>
      </c>
      <c r="KN27" s="30" t="e">
        <v>#DIV/0!</v>
      </c>
      <c r="KO27" s="30"/>
      <c r="KP27" s="30"/>
      <c r="KQ27" s="30"/>
      <c r="KR27" s="30"/>
    </row>
    <row r="28" spans="1:305">
      <c r="A28" s="1" t="s">
        <v>974</v>
      </c>
      <c r="B28" s="91">
        <v>62</v>
      </c>
      <c r="C28" s="95" t="str">
        <f>LOOKUP(B28,{0,20,30,40,50,60},{"10","20","30","40","50","60","70","80","90"})</f>
        <v>60</v>
      </c>
      <c r="D28" s="91">
        <v>1</v>
      </c>
      <c r="E28">
        <v>44353</v>
      </c>
      <c r="F28" s="99">
        <v>44343</v>
      </c>
      <c r="G28" s="99">
        <v>44383</v>
      </c>
      <c r="H28" s="95" t="s">
        <v>115</v>
      </c>
      <c r="I28" s="92">
        <v>44418</v>
      </c>
      <c r="J28" s="1" t="s">
        <v>964</v>
      </c>
      <c r="K28" s="91" t="s">
        <v>728</v>
      </c>
      <c r="L28" s="100"/>
      <c r="M28" s="100"/>
      <c r="N28" s="100"/>
      <c r="O28" s="125">
        <v>44417</v>
      </c>
      <c r="P28" s="117">
        <f>O28-I28</f>
        <v>-1</v>
      </c>
      <c r="Q28" s="105">
        <v>0</v>
      </c>
      <c r="R28" s="105">
        <v>2</v>
      </c>
      <c r="S28" s="92">
        <v>44524</v>
      </c>
      <c r="T28" s="126">
        <v>44741</v>
      </c>
      <c r="U28" s="118">
        <f>T28-I28</f>
        <v>323</v>
      </c>
      <c r="V28" s="127">
        <v>44615</v>
      </c>
      <c r="W28" s="105">
        <v>0</v>
      </c>
      <c r="X28" s="92">
        <v>44818</v>
      </c>
      <c r="Y28" s="92">
        <v>44417</v>
      </c>
      <c r="Z28" s="30">
        <f t="shared" si="4"/>
        <v>-1</v>
      </c>
      <c r="AA28" s="30"/>
      <c r="AB28" s="30">
        <v>20</v>
      </c>
      <c r="AC28" s="30">
        <v>20</v>
      </c>
      <c r="AD28" s="30">
        <v>20</v>
      </c>
      <c r="AE28" s="30">
        <v>45</v>
      </c>
      <c r="AF28" s="30">
        <v>60</v>
      </c>
      <c r="AG28" s="30">
        <v>65</v>
      </c>
      <c r="AH28" s="33">
        <v>26.25</v>
      </c>
      <c r="AI28" s="30">
        <v>25</v>
      </c>
      <c r="AJ28" s="30">
        <v>25</v>
      </c>
      <c r="AK28" s="30">
        <v>20</v>
      </c>
      <c r="AL28" s="30">
        <v>20</v>
      </c>
      <c r="AM28" s="30">
        <v>45</v>
      </c>
      <c r="AN28" s="30">
        <v>60</v>
      </c>
      <c r="AO28" s="30">
        <v>65</v>
      </c>
      <c r="AP28" s="30">
        <v>70</v>
      </c>
      <c r="AQ28" s="31" t="s">
        <v>234</v>
      </c>
      <c r="AR28" s="31" t="s">
        <v>234</v>
      </c>
      <c r="AS28" s="31" t="s">
        <v>234</v>
      </c>
      <c r="AT28" s="31" t="s">
        <v>234</v>
      </c>
      <c r="AU28" s="31" t="s">
        <v>234</v>
      </c>
      <c r="AV28" s="31" t="s">
        <v>234</v>
      </c>
      <c r="AW28" s="31" t="s">
        <v>234</v>
      </c>
      <c r="AX28" s="33">
        <v>26.25</v>
      </c>
      <c r="AY28" s="33">
        <v>44</v>
      </c>
      <c r="AZ28" s="33">
        <v>23.333333333333332</v>
      </c>
      <c r="BA28" s="33">
        <v>32.5</v>
      </c>
      <c r="BB28" s="33">
        <v>65</v>
      </c>
      <c r="BC28" s="33">
        <v>36.25</v>
      </c>
      <c r="BD28" s="34">
        <v>3</v>
      </c>
      <c r="BE28" s="33">
        <v>1</v>
      </c>
      <c r="BF28" s="30">
        <v>35</v>
      </c>
      <c r="BG28" s="30">
        <v>100</v>
      </c>
      <c r="BH28" s="30">
        <v>5</v>
      </c>
      <c r="BI28" s="30">
        <v>25</v>
      </c>
      <c r="BJ28" s="30">
        <v>15</v>
      </c>
      <c r="BK28" s="30">
        <v>20</v>
      </c>
      <c r="BL28" s="30">
        <v>10</v>
      </c>
      <c r="BM28" s="30">
        <v>5</v>
      </c>
      <c r="BN28" s="33">
        <v>18.75</v>
      </c>
      <c r="BO28" s="30">
        <v>60</v>
      </c>
      <c r="BP28" s="30">
        <v>40</v>
      </c>
      <c r="BQ28" s="30">
        <v>40</v>
      </c>
      <c r="BR28" s="30">
        <v>45</v>
      </c>
      <c r="BS28" s="30">
        <v>40</v>
      </c>
      <c r="BT28" s="30">
        <v>45</v>
      </c>
      <c r="BU28" s="30">
        <v>35</v>
      </c>
      <c r="BV28" s="30">
        <v>40</v>
      </c>
      <c r="BW28" s="31" t="s">
        <v>234</v>
      </c>
      <c r="BX28" s="31" t="s">
        <v>234</v>
      </c>
      <c r="BY28" s="31" t="s">
        <v>234</v>
      </c>
      <c r="BZ28" s="31" t="s">
        <v>234</v>
      </c>
      <c r="CA28" s="31" t="s">
        <v>234</v>
      </c>
      <c r="CB28" s="31" t="s">
        <v>234</v>
      </c>
      <c r="CC28" s="31" t="s">
        <v>234</v>
      </c>
      <c r="CD28" s="33">
        <v>42.5</v>
      </c>
      <c r="CE28" s="33">
        <v>40</v>
      </c>
      <c r="CF28" s="33">
        <v>46.666666666666664</v>
      </c>
      <c r="CG28" s="33">
        <v>42.5</v>
      </c>
      <c r="CH28" s="33">
        <v>40</v>
      </c>
      <c r="CI28" s="33">
        <v>42.5</v>
      </c>
      <c r="CJ28" s="30">
        <v>1</v>
      </c>
      <c r="CK28" s="33">
        <v>2</v>
      </c>
      <c r="CL28" s="30">
        <v>45</v>
      </c>
      <c r="CM28" s="30">
        <v>100</v>
      </c>
      <c r="CN28" s="30"/>
      <c r="CO28" s="30"/>
      <c r="CP28" s="31" t="s">
        <v>910</v>
      </c>
      <c r="CQ28" s="32">
        <v>44524</v>
      </c>
      <c r="CR28" s="30">
        <f t="shared" si="5"/>
        <v>106</v>
      </c>
      <c r="CS28" s="30"/>
      <c r="CT28" s="30">
        <v>5</v>
      </c>
      <c r="CU28" s="30">
        <v>15</v>
      </c>
      <c r="CV28" s="30">
        <v>15</v>
      </c>
      <c r="CW28" s="30">
        <v>35</v>
      </c>
      <c r="CX28" s="30">
        <v>55</v>
      </c>
      <c r="CY28" s="30">
        <v>45</v>
      </c>
      <c r="CZ28" s="33">
        <v>20</v>
      </c>
      <c r="DA28" s="30">
        <v>5</v>
      </c>
      <c r="DB28" s="30">
        <v>5</v>
      </c>
      <c r="DC28" s="30">
        <v>15</v>
      </c>
      <c r="DD28" s="30">
        <v>15</v>
      </c>
      <c r="DE28" s="30">
        <v>35</v>
      </c>
      <c r="DF28" s="30">
        <v>55</v>
      </c>
      <c r="DG28" s="30">
        <v>45</v>
      </c>
      <c r="DH28" s="30">
        <v>70</v>
      </c>
      <c r="DI28" s="31" t="s">
        <v>234</v>
      </c>
      <c r="DJ28" s="31" t="s">
        <v>234</v>
      </c>
      <c r="DK28" s="31" t="s">
        <v>234</v>
      </c>
      <c r="DL28" s="31" t="s">
        <v>234</v>
      </c>
      <c r="DM28" s="31" t="s">
        <v>234</v>
      </c>
      <c r="DN28" s="31" t="s">
        <v>234</v>
      </c>
      <c r="DO28" s="31" t="s">
        <v>234</v>
      </c>
      <c r="DP28" s="33">
        <v>20</v>
      </c>
      <c r="DQ28" s="33">
        <v>36</v>
      </c>
      <c r="DR28" s="33">
        <v>8.3333333333333339</v>
      </c>
      <c r="DS28" s="33">
        <v>25</v>
      </c>
      <c r="DT28" s="33">
        <v>56.666666666666664</v>
      </c>
      <c r="DU28" s="33">
        <v>30</v>
      </c>
      <c r="DV28" s="30">
        <v>3</v>
      </c>
      <c r="DW28" s="33">
        <v>1</v>
      </c>
      <c r="DX28" s="30">
        <v>35</v>
      </c>
      <c r="DY28" s="30">
        <v>100</v>
      </c>
      <c r="DZ28" s="30">
        <v>10</v>
      </c>
      <c r="EA28" s="30">
        <v>10</v>
      </c>
      <c r="EB28" s="30">
        <v>20</v>
      </c>
      <c r="EC28" s="30">
        <v>20</v>
      </c>
      <c r="ED28" s="30">
        <v>25</v>
      </c>
      <c r="EE28" s="30">
        <v>30</v>
      </c>
      <c r="EF28" s="33">
        <v>17.5</v>
      </c>
      <c r="EG28" s="30">
        <v>25</v>
      </c>
      <c r="EH28" s="30">
        <v>25</v>
      </c>
      <c r="EI28" s="30">
        <v>35</v>
      </c>
      <c r="EJ28" s="30">
        <v>35</v>
      </c>
      <c r="EK28" s="30">
        <v>20</v>
      </c>
      <c r="EL28" s="30">
        <v>25</v>
      </c>
      <c r="EM28" s="30">
        <v>30</v>
      </c>
      <c r="EN28" s="30">
        <v>40</v>
      </c>
      <c r="EO28" s="31" t="s">
        <v>234</v>
      </c>
      <c r="EP28" s="31" t="s">
        <v>234</v>
      </c>
      <c r="EQ28" s="31" t="s">
        <v>234</v>
      </c>
      <c r="ER28" s="31" t="s">
        <v>234</v>
      </c>
      <c r="ES28" s="31" t="s">
        <v>234</v>
      </c>
      <c r="ET28" s="31" t="s">
        <v>234</v>
      </c>
      <c r="EU28" s="31" t="s">
        <v>234</v>
      </c>
      <c r="EV28" s="33">
        <v>31.25</v>
      </c>
      <c r="EW28" s="33">
        <v>32</v>
      </c>
      <c r="EX28" s="33">
        <v>28.333333333333332</v>
      </c>
      <c r="EY28" s="33">
        <v>27.5</v>
      </c>
      <c r="EZ28" s="33">
        <v>31.666666666666668</v>
      </c>
      <c r="FA28" s="33">
        <v>28.75</v>
      </c>
      <c r="FB28" s="30">
        <v>3</v>
      </c>
      <c r="FC28" s="33">
        <v>1</v>
      </c>
      <c r="FD28" s="30">
        <v>40</v>
      </c>
      <c r="FE28" s="30">
        <v>100</v>
      </c>
      <c r="FF28" s="31" t="s">
        <v>911</v>
      </c>
      <c r="FG28" s="31" t="s">
        <v>912</v>
      </c>
      <c r="FH28" s="30"/>
      <c r="FI28" s="32">
        <v>44615</v>
      </c>
      <c r="FJ28" s="30">
        <f t="shared" si="6"/>
        <v>197</v>
      </c>
      <c r="FK28" s="30"/>
      <c r="FL28" s="30">
        <v>20</v>
      </c>
      <c r="FM28" s="30">
        <v>20</v>
      </c>
      <c r="FN28" s="30">
        <v>15</v>
      </c>
      <c r="FO28" s="30">
        <v>35</v>
      </c>
      <c r="FP28" s="30">
        <v>60</v>
      </c>
      <c r="FQ28" s="30">
        <v>60</v>
      </c>
      <c r="FR28" s="33">
        <v>21.25</v>
      </c>
      <c r="FS28" s="30">
        <v>25</v>
      </c>
      <c r="FT28" s="30">
        <v>25</v>
      </c>
      <c r="FU28" s="30">
        <v>20</v>
      </c>
      <c r="FV28" s="30">
        <v>15</v>
      </c>
      <c r="FW28" s="30">
        <v>40</v>
      </c>
      <c r="FX28" s="30">
        <v>60</v>
      </c>
      <c r="FY28" s="30">
        <v>60</v>
      </c>
      <c r="FZ28" s="30">
        <v>75</v>
      </c>
      <c r="GA28" s="31" t="s">
        <v>234</v>
      </c>
      <c r="GB28" s="31" t="s">
        <v>234</v>
      </c>
      <c r="GC28" s="31" t="s">
        <v>234</v>
      </c>
      <c r="GD28" s="31" t="s">
        <v>234</v>
      </c>
      <c r="GE28" s="31" t="s">
        <v>234</v>
      </c>
      <c r="GF28" s="31" t="s">
        <v>234</v>
      </c>
      <c r="GG28" s="31" t="s">
        <v>234</v>
      </c>
      <c r="GH28" s="33">
        <v>22.5</v>
      </c>
      <c r="GI28" s="33">
        <v>42</v>
      </c>
      <c r="GJ28" s="33">
        <v>23.333333333333332</v>
      </c>
      <c r="GK28" s="33">
        <v>27.5</v>
      </c>
      <c r="GL28" s="33">
        <v>65</v>
      </c>
      <c r="GM28" s="33">
        <v>33.75</v>
      </c>
      <c r="GN28" s="30">
        <v>3</v>
      </c>
      <c r="GO28" s="33">
        <v>1</v>
      </c>
      <c r="GP28" s="30">
        <v>30</v>
      </c>
      <c r="GQ28" s="30">
        <v>85</v>
      </c>
      <c r="GR28" s="30">
        <v>5</v>
      </c>
      <c r="GS28" s="30">
        <v>15</v>
      </c>
      <c r="GT28" s="30">
        <v>15</v>
      </c>
      <c r="GU28" s="30">
        <v>15</v>
      </c>
      <c r="GV28" s="30">
        <v>10</v>
      </c>
      <c r="GW28" s="30">
        <v>10</v>
      </c>
      <c r="GX28" s="30">
        <v>15</v>
      </c>
      <c r="GY28" s="30">
        <v>45</v>
      </c>
      <c r="GZ28" s="30">
        <v>45</v>
      </c>
      <c r="HA28" s="30">
        <v>45</v>
      </c>
      <c r="HB28" s="30">
        <v>35</v>
      </c>
      <c r="HC28" s="30">
        <v>25</v>
      </c>
      <c r="HD28" s="30">
        <v>25</v>
      </c>
      <c r="HE28" s="30">
        <v>20</v>
      </c>
      <c r="HF28" s="30">
        <v>50</v>
      </c>
      <c r="HG28" s="31" t="s">
        <v>234</v>
      </c>
      <c r="HH28" s="31" t="s">
        <v>234</v>
      </c>
      <c r="HI28" s="31" t="s">
        <v>234</v>
      </c>
      <c r="HJ28" s="31" t="s">
        <v>234</v>
      </c>
      <c r="HK28" s="31" t="s">
        <v>234</v>
      </c>
      <c r="HL28" s="31" t="s">
        <v>234</v>
      </c>
      <c r="HM28" s="31" t="s">
        <v>234</v>
      </c>
      <c r="HN28" s="30">
        <v>35</v>
      </c>
      <c r="HO28" s="30">
        <v>35</v>
      </c>
      <c r="HP28" s="30">
        <v>45</v>
      </c>
      <c r="HQ28" s="30">
        <v>30</v>
      </c>
      <c r="HR28" s="30">
        <v>31.666666666666668</v>
      </c>
      <c r="HS28" s="30">
        <v>32.5</v>
      </c>
      <c r="HT28" s="30">
        <f>HS28-CI28</f>
        <v>-10</v>
      </c>
      <c r="HU28" s="30" t="s">
        <v>235</v>
      </c>
      <c r="HV28" s="30">
        <v>1</v>
      </c>
      <c r="HW28" s="30">
        <v>30</v>
      </c>
      <c r="HX28" s="30">
        <v>80</v>
      </c>
      <c r="HY28" s="30"/>
      <c r="HZ28" s="30"/>
      <c r="IA28" s="31" t="s">
        <v>913</v>
      </c>
      <c r="IB28" s="50"/>
      <c r="IC28" s="84">
        <f t="shared" si="7"/>
        <v>-44418</v>
      </c>
      <c r="ID28" s="30"/>
      <c r="IE28" s="30"/>
      <c r="IF28" s="30"/>
      <c r="IG28" s="30"/>
      <c r="IH28" s="30"/>
      <c r="II28" s="30"/>
      <c r="IJ28" s="30"/>
      <c r="IK28" s="30">
        <v>0</v>
      </c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>
        <v>0</v>
      </c>
      <c r="JB28" s="30" t="e">
        <v>#DIV/0!</v>
      </c>
      <c r="JC28" s="30" t="e">
        <v>#DIV/0!</v>
      </c>
      <c r="JD28" s="30" t="e">
        <v>#DIV/0!</v>
      </c>
      <c r="JE28" s="30" t="e">
        <v>#DIV/0!</v>
      </c>
      <c r="JF28" s="30" t="e">
        <v>#DIV/0!</v>
      </c>
      <c r="JG28" s="30" t="e">
        <v>#DIV/0!</v>
      </c>
      <c r="JH28" s="30" t="e">
        <v>#DIV/0!</v>
      </c>
      <c r="JI28" s="30"/>
      <c r="JJ28" s="30"/>
      <c r="JK28" s="30"/>
      <c r="JL28" s="30"/>
      <c r="JM28" s="30"/>
      <c r="JN28" s="30"/>
      <c r="JO28" s="30"/>
      <c r="JP28" s="30"/>
      <c r="JQ28" s="30">
        <v>0</v>
      </c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>
        <v>0</v>
      </c>
      <c r="KH28" s="30" t="e">
        <v>#DIV/0!</v>
      </c>
      <c r="KI28" s="30" t="e">
        <v>#DIV/0!</v>
      </c>
      <c r="KJ28" s="30" t="e">
        <v>#DIV/0!</v>
      </c>
      <c r="KK28" s="30" t="e">
        <v>#DIV/0!</v>
      </c>
      <c r="KL28" s="30" t="e">
        <v>#DIV/0!</v>
      </c>
      <c r="KM28" s="30" t="e">
        <v>#DIV/0!</v>
      </c>
      <c r="KN28" s="30" t="e">
        <v>#DIV/0!</v>
      </c>
      <c r="KO28" s="30"/>
      <c r="KP28" s="30"/>
      <c r="KQ28" s="30"/>
      <c r="KR28" s="30"/>
      <c r="KS28" s="30"/>
    </row>
    <row r="29" spans="1:305">
      <c r="A29" s="1" t="s">
        <v>975</v>
      </c>
      <c r="B29" s="91">
        <v>67</v>
      </c>
      <c r="C29" s="95" t="str">
        <f>LOOKUP(B29,{0,20,30,40,50,60},{"10","20","30","40","50","60","70","80","90"})</f>
        <v>60</v>
      </c>
      <c r="D29" s="91">
        <v>1</v>
      </c>
      <c r="E29">
        <v>44352</v>
      </c>
      <c r="F29" s="99">
        <v>44363</v>
      </c>
      <c r="G29" s="100"/>
      <c r="H29" s="95" t="s">
        <v>115</v>
      </c>
      <c r="I29" s="92">
        <v>44420</v>
      </c>
      <c r="J29" s="1" t="s">
        <v>964</v>
      </c>
      <c r="K29" s="91" t="s">
        <v>909</v>
      </c>
      <c r="L29" s="100"/>
      <c r="M29" s="100"/>
      <c r="N29" s="100"/>
      <c r="O29" s="125">
        <v>44419</v>
      </c>
      <c r="P29" s="117">
        <f>O29-I29</f>
        <v>-1</v>
      </c>
      <c r="Q29" s="105">
        <v>0</v>
      </c>
      <c r="R29" s="105">
        <v>3</v>
      </c>
      <c r="S29" s="92">
        <v>44538</v>
      </c>
      <c r="T29" s="126">
        <v>44608</v>
      </c>
      <c r="U29" s="118">
        <f>T29-I29</f>
        <v>188</v>
      </c>
      <c r="V29" s="105">
        <v>0</v>
      </c>
      <c r="W29" s="105">
        <v>0</v>
      </c>
      <c r="X29" s="92">
        <v>44783</v>
      </c>
      <c r="Y29" s="92">
        <v>44419</v>
      </c>
      <c r="Z29" s="30">
        <f t="shared" si="4"/>
        <v>-1</v>
      </c>
      <c r="AA29" s="30"/>
      <c r="AB29" s="30">
        <v>5</v>
      </c>
      <c r="AC29" s="30">
        <v>15</v>
      </c>
      <c r="AD29" s="30">
        <v>20</v>
      </c>
      <c r="AE29" s="30">
        <v>30</v>
      </c>
      <c r="AF29" s="30">
        <v>40</v>
      </c>
      <c r="AG29" s="30">
        <v>40</v>
      </c>
      <c r="AH29" s="33">
        <v>21.25</v>
      </c>
      <c r="AI29" s="30">
        <v>40</v>
      </c>
      <c r="AJ29" s="30">
        <v>25</v>
      </c>
      <c r="AK29" s="30">
        <v>25</v>
      </c>
      <c r="AL29" s="30">
        <v>20</v>
      </c>
      <c r="AM29" s="30">
        <v>30</v>
      </c>
      <c r="AN29" s="30">
        <v>40</v>
      </c>
      <c r="AO29" s="30">
        <v>55</v>
      </c>
      <c r="AP29" s="30">
        <v>50</v>
      </c>
      <c r="AQ29" s="31" t="s">
        <v>234</v>
      </c>
      <c r="AR29" s="31" t="s">
        <v>234</v>
      </c>
      <c r="AS29" s="31" t="s">
        <v>234</v>
      </c>
      <c r="AT29" s="31" t="s">
        <v>234</v>
      </c>
      <c r="AU29" s="31" t="s">
        <v>234</v>
      </c>
      <c r="AV29" s="31" t="s">
        <v>234</v>
      </c>
      <c r="AW29" s="31" t="s">
        <v>234</v>
      </c>
      <c r="AX29" s="33">
        <v>23.75</v>
      </c>
      <c r="AY29" s="33">
        <v>36</v>
      </c>
      <c r="AZ29" s="33">
        <v>30</v>
      </c>
      <c r="BA29" s="33">
        <v>25</v>
      </c>
      <c r="BB29" s="33">
        <v>48.333333333333336</v>
      </c>
      <c r="BC29" s="33">
        <v>28.75</v>
      </c>
      <c r="BD29" s="34" t="s">
        <v>235</v>
      </c>
      <c r="BE29" s="33">
        <v>1</v>
      </c>
      <c r="BF29" s="30">
        <v>40</v>
      </c>
      <c r="BG29" s="30">
        <v>100</v>
      </c>
      <c r="BH29" s="30">
        <v>5</v>
      </c>
      <c r="BI29" s="30">
        <v>25</v>
      </c>
      <c r="BJ29" s="30">
        <v>25</v>
      </c>
      <c r="BK29" s="30">
        <v>55</v>
      </c>
      <c r="BL29" s="30">
        <v>55</v>
      </c>
      <c r="BM29" s="30">
        <v>60</v>
      </c>
      <c r="BN29" s="33">
        <v>32.5</v>
      </c>
      <c r="BO29" s="30">
        <v>70</v>
      </c>
      <c r="BP29" s="30">
        <v>65</v>
      </c>
      <c r="BQ29" s="30">
        <v>60</v>
      </c>
      <c r="BR29" s="30">
        <v>60</v>
      </c>
      <c r="BS29" s="30">
        <v>70</v>
      </c>
      <c r="BT29" s="30">
        <v>85</v>
      </c>
      <c r="BU29" s="30">
        <v>80</v>
      </c>
      <c r="BV29" s="47">
        <v>105</v>
      </c>
      <c r="BW29" s="31" t="s">
        <v>234</v>
      </c>
      <c r="BX29" s="31" t="s">
        <v>234</v>
      </c>
      <c r="BY29" s="31" t="s">
        <v>234</v>
      </c>
      <c r="BZ29" s="31" t="s">
        <v>234</v>
      </c>
      <c r="CA29" s="31" t="s">
        <v>234</v>
      </c>
      <c r="CB29" s="31" t="s">
        <v>234</v>
      </c>
      <c r="CC29" s="31" t="s">
        <v>234</v>
      </c>
      <c r="CD29" s="33">
        <v>62.5</v>
      </c>
      <c r="CE29" s="33">
        <v>75</v>
      </c>
      <c r="CF29" s="33">
        <v>65</v>
      </c>
      <c r="CG29" s="33">
        <v>65</v>
      </c>
      <c r="CH29" s="33">
        <v>90</v>
      </c>
      <c r="CI29" s="33">
        <v>68.75</v>
      </c>
      <c r="CJ29" s="30">
        <v>3</v>
      </c>
      <c r="CK29" s="33">
        <v>3</v>
      </c>
      <c r="CL29" s="30">
        <v>65</v>
      </c>
      <c r="CM29" s="30">
        <v>100</v>
      </c>
      <c r="CN29" s="30"/>
      <c r="CO29" s="30"/>
      <c r="CP29" s="31" t="s">
        <v>914</v>
      </c>
      <c r="CQ29" s="32">
        <v>44503</v>
      </c>
      <c r="CR29" s="30">
        <f t="shared" si="5"/>
        <v>83</v>
      </c>
      <c r="CS29" s="30"/>
      <c r="CT29" s="30">
        <v>25</v>
      </c>
      <c r="CU29" s="30">
        <v>20</v>
      </c>
      <c r="CV29" s="30">
        <v>20</v>
      </c>
      <c r="CW29" s="30">
        <v>30</v>
      </c>
      <c r="CX29" s="30">
        <v>40</v>
      </c>
      <c r="CY29" s="30">
        <v>50</v>
      </c>
      <c r="CZ29" s="33">
        <v>22.5</v>
      </c>
      <c r="DA29" s="30">
        <v>30</v>
      </c>
      <c r="DB29" s="30">
        <v>25</v>
      </c>
      <c r="DC29" s="30">
        <v>20</v>
      </c>
      <c r="DD29" s="30">
        <v>20</v>
      </c>
      <c r="DE29" s="30">
        <v>30</v>
      </c>
      <c r="DF29" s="30">
        <v>40</v>
      </c>
      <c r="DG29" s="30">
        <v>50</v>
      </c>
      <c r="DH29" s="30">
        <v>50</v>
      </c>
      <c r="DI29" s="31" t="s">
        <v>234</v>
      </c>
      <c r="DJ29" s="31" t="s">
        <v>234</v>
      </c>
      <c r="DK29" s="31" t="s">
        <v>234</v>
      </c>
      <c r="DL29" s="31" t="s">
        <v>234</v>
      </c>
      <c r="DM29" s="31" t="s">
        <v>234</v>
      </c>
      <c r="DN29" s="31" t="s">
        <v>234</v>
      </c>
      <c r="DO29" s="31" t="s">
        <v>234</v>
      </c>
      <c r="DP29" s="33">
        <v>22.5</v>
      </c>
      <c r="DQ29" s="33">
        <v>34</v>
      </c>
      <c r="DR29" s="33">
        <v>25</v>
      </c>
      <c r="DS29" s="33">
        <v>25</v>
      </c>
      <c r="DT29" s="33">
        <v>46.666666666666664</v>
      </c>
      <c r="DU29" s="33">
        <v>27.5</v>
      </c>
      <c r="DV29" s="30" t="s">
        <v>235</v>
      </c>
      <c r="DW29" s="33">
        <v>1</v>
      </c>
      <c r="DX29" s="30">
        <v>30</v>
      </c>
      <c r="DY29" s="30">
        <v>100</v>
      </c>
      <c r="DZ29" s="30">
        <v>10</v>
      </c>
      <c r="EA29" s="30">
        <v>5</v>
      </c>
      <c r="EB29" s="30">
        <v>10</v>
      </c>
      <c r="EC29" s="30">
        <v>45</v>
      </c>
      <c r="ED29" s="30">
        <v>60</v>
      </c>
      <c r="EE29" s="30">
        <v>60</v>
      </c>
      <c r="EF29" s="33">
        <v>17.5</v>
      </c>
      <c r="EG29" s="30">
        <v>55</v>
      </c>
      <c r="EH29" s="30">
        <v>40</v>
      </c>
      <c r="EI29" s="30">
        <v>25</v>
      </c>
      <c r="EJ29" s="30">
        <v>25</v>
      </c>
      <c r="EK29" s="30">
        <v>60</v>
      </c>
      <c r="EL29" s="30">
        <v>75</v>
      </c>
      <c r="EM29" s="30">
        <v>80</v>
      </c>
      <c r="EN29" s="30">
        <v>80</v>
      </c>
      <c r="EO29" s="31" t="s">
        <v>234</v>
      </c>
      <c r="EP29" s="31" t="s">
        <v>234</v>
      </c>
      <c r="EQ29" s="31" t="s">
        <v>234</v>
      </c>
      <c r="ER29" s="31" t="s">
        <v>234</v>
      </c>
      <c r="ES29" s="31" t="s">
        <v>234</v>
      </c>
      <c r="ET29" s="31" t="s">
        <v>234</v>
      </c>
      <c r="EU29" s="31" t="s">
        <v>234</v>
      </c>
      <c r="EV29" s="33">
        <v>33.75</v>
      </c>
      <c r="EW29" s="33">
        <v>54</v>
      </c>
      <c r="EX29" s="33">
        <v>40</v>
      </c>
      <c r="EY29" s="33">
        <v>42.5</v>
      </c>
      <c r="EZ29" s="33">
        <v>78.333333333333329</v>
      </c>
      <c r="FA29" s="33">
        <v>46.25</v>
      </c>
      <c r="FB29" s="30" t="s">
        <v>235</v>
      </c>
      <c r="FC29" s="33">
        <v>2</v>
      </c>
      <c r="FD29" s="30">
        <v>35</v>
      </c>
      <c r="FE29" s="30">
        <v>100</v>
      </c>
      <c r="FF29" s="31" t="s">
        <v>915</v>
      </c>
      <c r="FG29" s="31" t="s">
        <v>916</v>
      </c>
      <c r="FH29" s="30"/>
      <c r="FI29" s="32">
        <v>44608</v>
      </c>
      <c r="FJ29" s="30">
        <f t="shared" si="6"/>
        <v>188</v>
      </c>
      <c r="FK29" s="30"/>
      <c r="FL29" s="30">
        <v>20</v>
      </c>
      <c r="FM29" s="30">
        <v>20</v>
      </c>
      <c r="FN29" s="30">
        <v>20</v>
      </c>
      <c r="FO29" s="30">
        <v>20</v>
      </c>
      <c r="FP29" s="30">
        <v>30</v>
      </c>
      <c r="FQ29" s="30">
        <v>50</v>
      </c>
      <c r="FR29" s="33">
        <v>20</v>
      </c>
      <c r="FS29" s="30">
        <v>35</v>
      </c>
      <c r="FT29" s="30">
        <v>35</v>
      </c>
      <c r="FU29" s="30">
        <v>25</v>
      </c>
      <c r="FV29" s="30">
        <v>20</v>
      </c>
      <c r="FW29" s="30">
        <v>25</v>
      </c>
      <c r="FX29" s="30">
        <v>60</v>
      </c>
      <c r="FY29" s="30">
        <v>60</v>
      </c>
      <c r="FZ29" s="30">
        <v>95</v>
      </c>
      <c r="GA29" s="31" t="s">
        <v>234</v>
      </c>
      <c r="GB29" s="31" t="s">
        <v>234</v>
      </c>
      <c r="GC29" s="31" t="s">
        <v>234</v>
      </c>
      <c r="GD29" s="31" t="s">
        <v>234</v>
      </c>
      <c r="GE29" s="31" t="s">
        <v>234</v>
      </c>
      <c r="GF29" s="31" t="s">
        <v>234</v>
      </c>
      <c r="GG29" s="31" t="s">
        <v>234</v>
      </c>
      <c r="GH29" s="33">
        <v>22.5</v>
      </c>
      <c r="GI29" s="33">
        <v>45</v>
      </c>
      <c r="GJ29" s="33">
        <v>31.666666666666668</v>
      </c>
      <c r="GK29" s="33">
        <v>22.5</v>
      </c>
      <c r="GL29" s="33">
        <v>71.666666666666671</v>
      </c>
      <c r="GM29" s="33">
        <v>32.5</v>
      </c>
      <c r="GN29" s="30">
        <v>3</v>
      </c>
      <c r="GO29" s="33">
        <v>1</v>
      </c>
      <c r="GP29" s="30">
        <v>25</v>
      </c>
      <c r="GQ29" s="30">
        <v>90</v>
      </c>
      <c r="GR29" s="30">
        <v>15</v>
      </c>
      <c r="GS29" s="30">
        <v>15</v>
      </c>
      <c r="GT29" s="30">
        <v>30</v>
      </c>
      <c r="GU29" s="30">
        <v>45</v>
      </c>
      <c r="GV29" s="30">
        <v>50</v>
      </c>
      <c r="GW29" s="30">
        <v>60</v>
      </c>
      <c r="GX29" s="30">
        <v>30</v>
      </c>
      <c r="GY29" s="30">
        <v>40</v>
      </c>
      <c r="GZ29" s="30">
        <v>30</v>
      </c>
      <c r="HA29" s="30">
        <v>20</v>
      </c>
      <c r="HB29" s="30">
        <v>30</v>
      </c>
      <c r="HC29" s="30">
        <v>65</v>
      </c>
      <c r="HD29" s="30">
        <v>80</v>
      </c>
      <c r="HE29" s="30">
        <v>75</v>
      </c>
      <c r="HF29" s="30">
        <v>90</v>
      </c>
      <c r="HG29" s="31" t="s">
        <v>234</v>
      </c>
      <c r="HH29" s="31" t="s">
        <v>234</v>
      </c>
      <c r="HI29" s="31" t="s">
        <v>234</v>
      </c>
      <c r="HJ29" s="31" t="s">
        <v>234</v>
      </c>
      <c r="HK29" s="31" t="s">
        <v>234</v>
      </c>
      <c r="HL29" s="31" t="s">
        <v>234</v>
      </c>
      <c r="HM29" s="31" t="s">
        <v>234</v>
      </c>
      <c r="HN29" s="30">
        <v>36.25</v>
      </c>
      <c r="HO29" s="30">
        <v>56</v>
      </c>
      <c r="HP29" s="30">
        <v>30</v>
      </c>
      <c r="HQ29" s="30">
        <v>47.5</v>
      </c>
      <c r="HR29" s="30">
        <v>81.666666666666671</v>
      </c>
      <c r="HS29" s="30">
        <v>48.75</v>
      </c>
      <c r="HT29" s="30">
        <f>HS29-CI29</f>
        <v>-20</v>
      </c>
      <c r="HU29" s="30">
        <v>3</v>
      </c>
      <c r="HV29" s="30">
        <v>2</v>
      </c>
      <c r="HW29" s="30">
        <v>30</v>
      </c>
      <c r="HX29" s="30">
        <v>85</v>
      </c>
      <c r="HY29" s="30"/>
      <c r="HZ29" s="30"/>
      <c r="IA29" s="31" t="s">
        <v>917</v>
      </c>
      <c r="IB29" s="32">
        <v>44783</v>
      </c>
      <c r="IC29" s="84">
        <f t="shared" si="7"/>
        <v>363</v>
      </c>
      <c r="ID29" s="30"/>
      <c r="IE29" s="30">
        <v>25</v>
      </c>
      <c r="IF29" s="30">
        <v>25</v>
      </c>
      <c r="IG29" s="30">
        <v>25</v>
      </c>
      <c r="IH29" s="30">
        <v>35</v>
      </c>
      <c r="II29" s="30">
        <v>45</v>
      </c>
      <c r="IJ29" s="30">
        <v>50</v>
      </c>
      <c r="IK29" s="30">
        <v>27.5</v>
      </c>
      <c r="IL29" s="30">
        <v>25</v>
      </c>
      <c r="IM29" s="30">
        <v>25</v>
      </c>
      <c r="IN29" s="30">
        <v>25</v>
      </c>
      <c r="IO29" s="30">
        <v>25</v>
      </c>
      <c r="IP29" s="30">
        <v>35</v>
      </c>
      <c r="IQ29" s="30">
        <v>45</v>
      </c>
      <c r="IR29" s="30">
        <v>60</v>
      </c>
      <c r="IS29" s="30">
        <v>55</v>
      </c>
      <c r="IT29" s="31" t="s">
        <v>234</v>
      </c>
      <c r="IU29" s="31" t="s">
        <v>234</v>
      </c>
      <c r="IV29" s="31" t="s">
        <v>234</v>
      </c>
      <c r="IW29" s="31" t="s">
        <v>234</v>
      </c>
      <c r="IX29" s="31" t="s">
        <v>234</v>
      </c>
      <c r="IY29" s="31" t="s">
        <v>234</v>
      </c>
      <c r="IZ29" s="31" t="s">
        <v>234</v>
      </c>
      <c r="JA29" s="30">
        <v>27.5</v>
      </c>
      <c r="JB29" s="30">
        <v>40</v>
      </c>
      <c r="JC29" s="30">
        <v>25</v>
      </c>
      <c r="JD29" s="30">
        <v>30</v>
      </c>
      <c r="JE29" s="30">
        <v>53.333333333333336</v>
      </c>
      <c r="JF29" s="30">
        <v>32.5</v>
      </c>
      <c r="JG29" s="30">
        <v>3</v>
      </c>
      <c r="JH29" s="30">
        <v>1</v>
      </c>
      <c r="JI29" s="30">
        <v>25</v>
      </c>
      <c r="JJ29" s="30">
        <v>100</v>
      </c>
      <c r="JK29" s="30">
        <v>20</v>
      </c>
      <c r="JL29" s="30">
        <v>25</v>
      </c>
      <c r="JM29" s="30">
        <v>30</v>
      </c>
      <c r="JN29" s="30">
        <v>50</v>
      </c>
      <c r="JO29" s="30">
        <v>55</v>
      </c>
      <c r="JP29" s="30">
        <v>55</v>
      </c>
      <c r="JQ29" s="30">
        <v>33.75</v>
      </c>
      <c r="JR29" s="30">
        <v>50</v>
      </c>
      <c r="JS29" s="30">
        <v>35</v>
      </c>
      <c r="JT29" s="30">
        <v>25</v>
      </c>
      <c r="JU29" s="30">
        <v>35</v>
      </c>
      <c r="JV29" s="30">
        <v>70</v>
      </c>
      <c r="JW29" s="30">
        <v>90</v>
      </c>
      <c r="JX29" s="30">
        <v>85</v>
      </c>
      <c r="JY29" s="30">
        <v>80</v>
      </c>
      <c r="JZ29" s="31" t="s">
        <v>234</v>
      </c>
      <c r="KA29" s="31" t="s">
        <v>234</v>
      </c>
      <c r="KB29" s="31" t="s">
        <v>234</v>
      </c>
      <c r="KC29" s="31" t="s">
        <v>234</v>
      </c>
      <c r="KD29" s="31" t="s">
        <v>234</v>
      </c>
      <c r="KE29" s="31" t="s">
        <v>234</v>
      </c>
      <c r="KF29" s="31" t="s">
        <v>234</v>
      </c>
      <c r="KG29" s="30">
        <v>41.25</v>
      </c>
      <c r="KH29" s="30">
        <v>59</v>
      </c>
      <c r="KI29" s="30">
        <v>36.666666666666664</v>
      </c>
      <c r="KJ29" s="30">
        <v>52.5</v>
      </c>
      <c r="KK29" s="30">
        <v>85</v>
      </c>
      <c r="KL29" s="30">
        <v>55</v>
      </c>
      <c r="KM29" s="30">
        <v>3</v>
      </c>
      <c r="KN29" s="30">
        <v>2</v>
      </c>
      <c r="KO29" s="30">
        <v>45</v>
      </c>
      <c r="KP29" s="30">
        <v>88</v>
      </c>
      <c r="KQ29" s="31" t="s">
        <v>918</v>
      </c>
      <c r="KR29" s="30"/>
      <c r="KS29" s="31" t="s">
        <v>919</v>
      </c>
    </row>
    <row r="30" spans="1:305" hidden="1">
      <c r="A30" s="1" t="s">
        <v>944</v>
      </c>
      <c r="B30" s="91">
        <v>56</v>
      </c>
      <c r="C30" s="95" t="str">
        <f>LOOKUP(B30,{0,20,30,40,50,60},{"10","20","30","40","50","60","70","80","90"})</f>
        <v>50</v>
      </c>
      <c r="D30" s="91" t="s">
        <v>888</v>
      </c>
      <c r="E30" s="1"/>
      <c r="F30" s="99">
        <v>44410</v>
      </c>
      <c r="G30" s="100"/>
      <c r="H30" s="95" t="s">
        <v>115</v>
      </c>
      <c r="I30" s="92">
        <v>44425</v>
      </c>
      <c r="J30" s="1"/>
      <c r="K30" s="91" t="s">
        <v>727</v>
      </c>
      <c r="L30" s="100"/>
      <c r="M30" s="100"/>
      <c r="N30" s="100"/>
      <c r="O30" s="99">
        <v>44424</v>
      </c>
      <c r="P30" s="99"/>
      <c r="Q30" s="99"/>
      <c r="R30" s="99"/>
      <c r="S30" s="92">
        <v>44559</v>
      </c>
      <c r="T30" s="92">
        <v>44608</v>
      </c>
      <c r="U30" s="92"/>
      <c r="V30" s="92"/>
      <c r="W30" s="92"/>
      <c r="X30" s="92">
        <v>44790</v>
      </c>
      <c r="Y30" s="92">
        <v>44421</v>
      </c>
      <c r="Z30" s="30">
        <f t="shared" si="4"/>
        <v>-4</v>
      </c>
      <c r="AA30" s="30"/>
      <c r="AB30" s="30">
        <v>25</v>
      </c>
      <c r="AC30" s="30">
        <v>60</v>
      </c>
      <c r="AD30" s="30">
        <v>25</v>
      </c>
      <c r="AE30" s="30">
        <v>30</v>
      </c>
      <c r="AF30" s="30">
        <v>35</v>
      </c>
      <c r="AG30" s="30">
        <v>40</v>
      </c>
      <c r="AH30" s="33">
        <v>35</v>
      </c>
      <c r="AI30" s="30">
        <v>55</v>
      </c>
      <c r="AJ30" s="30">
        <v>60</v>
      </c>
      <c r="AK30" s="30">
        <v>60</v>
      </c>
      <c r="AL30" s="30">
        <v>45</v>
      </c>
      <c r="AM30" s="30">
        <v>55</v>
      </c>
      <c r="AN30" s="30">
        <v>65</v>
      </c>
      <c r="AO30" s="30">
        <v>70</v>
      </c>
      <c r="AP30" s="30">
        <v>75</v>
      </c>
      <c r="AQ30" s="31" t="s">
        <v>234</v>
      </c>
      <c r="AR30" s="31" t="s">
        <v>234</v>
      </c>
      <c r="AS30" s="31" t="s">
        <v>234</v>
      </c>
      <c r="AT30" s="31" t="s">
        <v>234</v>
      </c>
      <c r="AU30" s="31" t="s">
        <v>234</v>
      </c>
      <c r="AV30" s="31" t="s">
        <v>234</v>
      </c>
      <c r="AW30" s="31" t="s">
        <v>234</v>
      </c>
      <c r="AX30" s="33">
        <v>51.25</v>
      </c>
      <c r="AY30" s="33">
        <v>61</v>
      </c>
      <c r="AZ30" s="33">
        <v>58.333333333333336</v>
      </c>
      <c r="BA30" s="33">
        <v>50</v>
      </c>
      <c r="BB30" s="33">
        <v>70</v>
      </c>
      <c r="BC30" s="33">
        <v>56.25</v>
      </c>
      <c r="BD30" s="34">
        <v>3</v>
      </c>
      <c r="BE30" s="33">
        <v>2</v>
      </c>
      <c r="BF30" s="30">
        <v>55</v>
      </c>
      <c r="BG30" s="30">
        <v>100</v>
      </c>
      <c r="BH30" s="30">
        <v>20</v>
      </c>
      <c r="BI30" s="30">
        <v>15</v>
      </c>
      <c r="BJ30" s="30">
        <v>20</v>
      </c>
      <c r="BK30" s="30">
        <v>35</v>
      </c>
      <c r="BL30" s="30">
        <v>30</v>
      </c>
      <c r="BM30" s="30">
        <v>45</v>
      </c>
      <c r="BN30" s="33">
        <v>22.5</v>
      </c>
      <c r="BO30" s="30">
        <v>30</v>
      </c>
      <c r="BP30" s="30">
        <v>20</v>
      </c>
      <c r="BQ30" s="30">
        <v>15</v>
      </c>
      <c r="BR30" s="30">
        <v>20</v>
      </c>
      <c r="BS30" s="30">
        <v>35</v>
      </c>
      <c r="BT30" s="30">
        <v>30</v>
      </c>
      <c r="BU30" s="30">
        <v>45</v>
      </c>
      <c r="BV30" s="30">
        <v>50</v>
      </c>
      <c r="BW30" s="31" t="s">
        <v>234</v>
      </c>
      <c r="BX30" s="31" t="s">
        <v>234</v>
      </c>
      <c r="BY30" s="31" t="s">
        <v>234</v>
      </c>
      <c r="BZ30" s="31" t="s">
        <v>234</v>
      </c>
      <c r="CA30" s="31" t="s">
        <v>234</v>
      </c>
      <c r="CB30" s="31" t="s">
        <v>234</v>
      </c>
      <c r="CC30" s="31" t="s">
        <v>234</v>
      </c>
      <c r="CD30" s="33">
        <v>22.5</v>
      </c>
      <c r="CE30" s="33">
        <v>33</v>
      </c>
      <c r="CF30" s="33">
        <v>21.666666666666668</v>
      </c>
      <c r="CG30" s="33">
        <v>27.5</v>
      </c>
      <c r="CH30" s="33">
        <v>41.666666666666664</v>
      </c>
      <c r="CI30" s="33">
        <v>25</v>
      </c>
      <c r="CJ30" s="30">
        <v>3</v>
      </c>
      <c r="CK30" s="33">
        <v>1</v>
      </c>
      <c r="CL30" s="30">
        <v>25</v>
      </c>
      <c r="CM30" s="30">
        <v>100</v>
      </c>
      <c r="CN30" s="31" t="s">
        <v>920</v>
      </c>
      <c r="CO30" s="31" t="s">
        <v>921</v>
      </c>
      <c r="CP30" s="30"/>
      <c r="CQ30" s="32">
        <v>44559</v>
      </c>
      <c r="CR30" s="30">
        <f t="shared" si="5"/>
        <v>134</v>
      </c>
      <c r="CS30" s="30"/>
      <c r="CT30" s="30">
        <v>0</v>
      </c>
      <c r="CU30" s="30">
        <v>0</v>
      </c>
      <c r="CV30" s="30">
        <v>25</v>
      </c>
      <c r="CW30" s="30">
        <v>25</v>
      </c>
      <c r="CX30" s="30">
        <v>40</v>
      </c>
      <c r="CY30" s="30">
        <v>45</v>
      </c>
      <c r="CZ30" s="33">
        <v>18.75</v>
      </c>
      <c r="DA30" s="30">
        <v>15</v>
      </c>
      <c r="DB30" s="30">
        <v>20</v>
      </c>
      <c r="DC30" s="30">
        <v>30</v>
      </c>
      <c r="DD30" s="30">
        <v>30</v>
      </c>
      <c r="DE30" s="30">
        <v>25</v>
      </c>
      <c r="DF30" s="30">
        <v>50</v>
      </c>
      <c r="DG30" s="30">
        <v>55</v>
      </c>
      <c r="DH30" s="30">
        <v>70</v>
      </c>
      <c r="DI30" s="30"/>
      <c r="DJ30" s="30"/>
      <c r="DK30" s="30"/>
      <c r="DL30" s="30"/>
      <c r="DM30" s="30"/>
      <c r="DN30" s="30"/>
      <c r="DO30" s="30"/>
      <c r="DP30" s="33">
        <v>28.75</v>
      </c>
      <c r="DQ30" s="33">
        <v>42</v>
      </c>
      <c r="DR30" s="33">
        <v>21.666666666666668</v>
      </c>
      <c r="DS30" s="33">
        <v>27.5</v>
      </c>
      <c r="DT30" s="33">
        <v>58.333333333333336</v>
      </c>
      <c r="DU30" s="33">
        <v>33.75</v>
      </c>
      <c r="DV30" s="30">
        <v>3</v>
      </c>
      <c r="DW30" s="33">
        <v>1</v>
      </c>
      <c r="DX30" s="30">
        <v>35</v>
      </c>
      <c r="DY30" s="30">
        <v>100</v>
      </c>
      <c r="DZ30" s="30">
        <v>20</v>
      </c>
      <c r="EA30" s="30">
        <v>10</v>
      </c>
      <c r="EB30" s="30">
        <v>20</v>
      </c>
      <c r="EC30" s="30">
        <v>35</v>
      </c>
      <c r="ED30" s="30">
        <v>50</v>
      </c>
      <c r="EE30" s="30">
        <v>40</v>
      </c>
      <c r="EF30" s="33">
        <v>21.25</v>
      </c>
      <c r="EG30" s="30">
        <v>25</v>
      </c>
      <c r="EH30" s="30">
        <v>20</v>
      </c>
      <c r="EI30" s="30">
        <v>10</v>
      </c>
      <c r="EJ30" s="30">
        <v>20</v>
      </c>
      <c r="EK30" s="30">
        <v>35</v>
      </c>
      <c r="EL30" s="30">
        <v>50</v>
      </c>
      <c r="EM30" s="30">
        <v>40</v>
      </c>
      <c r="EN30" s="30">
        <v>50</v>
      </c>
      <c r="EO30" s="30"/>
      <c r="EP30" s="30"/>
      <c r="EQ30" s="30"/>
      <c r="ER30" s="30"/>
      <c r="ES30" s="30"/>
      <c r="ET30" s="30"/>
      <c r="EU30" s="30"/>
      <c r="EV30" s="33">
        <v>21.25</v>
      </c>
      <c r="EW30" s="33">
        <v>31</v>
      </c>
      <c r="EX30" s="33">
        <v>18.333333333333332</v>
      </c>
      <c r="EY30" s="33">
        <v>27.5</v>
      </c>
      <c r="EZ30" s="33">
        <v>46.666666666666664</v>
      </c>
      <c r="FA30" s="33">
        <v>28.75</v>
      </c>
      <c r="FB30" s="30">
        <v>3</v>
      </c>
      <c r="FC30" s="33">
        <v>1</v>
      </c>
      <c r="FD30" s="30">
        <v>25</v>
      </c>
      <c r="FE30" s="30">
        <v>100</v>
      </c>
      <c r="FF30" s="30" t="s">
        <v>922</v>
      </c>
      <c r="FG30" s="30" t="s">
        <v>923</v>
      </c>
      <c r="FH30" s="30"/>
      <c r="FI30" s="32">
        <v>44608</v>
      </c>
      <c r="FJ30" s="30">
        <f t="shared" si="6"/>
        <v>183</v>
      </c>
      <c r="FK30" s="30"/>
      <c r="FL30" s="30">
        <v>0</v>
      </c>
      <c r="FM30" s="30">
        <v>15</v>
      </c>
      <c r="FN30" s="30">
        <v>20</v>
      </c>
      <c r="FO30" s="30">
        <v>25</v>
      </c>
      <c r="FP30" s="30">
        <v>40</v>
      </c>
      <c r="FQ30" s="30">
        <v>35</v>
      </c>
      <c r="FR30" s="33">
        <v>20</v>
      </c>
      <c r="FS30" s="30">
        <v>30</v>
      </c>
      <c r="FT30" s="30">
        <v>30</v>
      </c>
      <c r="FU30" s="30">
        <v>25</v>
      </c>
      <c r="FV30" s="30">
        <v>30</v>
      </c>
      <c r="FW30" s="30">
        <v>25</v>
      </c>
      <c r="FX30" s="30">
        <v>45</v>
      </c>
      <c r="FY30" s="30">
        <v>50</v>
      </c>
      <c r="FZ30" s="30">
        <v>80</v>
      </c>
      <c r="GA30" s="30"/>
      <c r="GB30" s="30"/>
      <c r="GC30" s="30"/>
      <c r="GD30" s="30"/>
      <c r="GE30" s="30"/>
      <c r="GF30" s="30"/>
      <c r="GG30" s="30"/>
      <c r="GH30" s="33">
        <v>27.5</v>
      </c>
      <c r="GI30" s="33">
        <v>42</v>
      </c>
      <c r="GJ30" s="33">
        <v>28.333333333333332</v>
      </c>
      <c r="GK30" s="33">
        <v>27.5</v>
      </c>
      <c r="GL30" s="33">
        <v>58.333333333333336</v>
      </c>
      <c r="GM30" s="33">
        <v>31.25</v>
      </c>
      <c r="GN30" s="30">
        <v>3</v>
      </c>
      <c r="GO30" s="33">
        <v>1</v>
      </c>
      <c r="GP30" s="30">
        <v>35</v>
      </c>
      <c r="GQ30" s="30">
        <v>100</v>
      </c>
      <c r="GR30" s="30">
        <v>40</v>
      </c>
      <c r="GS30" s="30">
        <v>20</v>
      </c>
      <c r="GT30" s="30">
        <v>25</v>
      </c>
      <c r="GU30" s="30">
        <v>35</v>
      </c>
      <c r="GV30" s="30">
        <v>40</v>
      </c>
      <c r="GW30" s="30">
        <v>45</v>
      </c>
      <c r="GX30" s="30">
        <v>26.25</v>
      </c>
      <c r="GY30" s="30">
        <v>50</v>
      </c>
      <c r="GZ30" s="30">
        <v>45</v>
      </c>
      <c r="HA30" s="30">
        <v>20</v>
      </c>
      <c r="HB30" s="30">
        <v>25</v>
      </c>
      <c r="HC30" s="30">
        <v>35</v>
      </c>
      <c r="HD30" s="30">
        <v>40</v>
      </c>
      <c r="HE30" s="30">
        <v>50</v>
      </c>
      <c r="HF30" s="30">
        <v>55</v>
      </c>
      <c r="HG30" s="30"/>
      <c r="HH30" s="30"/>
      <c r="HI30" s="30"/>
      <c r="HJ30" s="30"/>
      <c r="HK30" s="30"/>
      <c r="HL30" s="30"/>
      <c r="HM30" s="30"/>
      <c r="HN30" s="30">
        <v>26.25</v>
      </c>
      <c r="HO30" s="30">
        <v>37</v>
      </c>
      <c r="HP30" s="30">
        <v>38.333333333333336</v>
      </c>
      <c r="HQ30" s="30">
        <v>30</v>
      </c>
      <c r="HR30" s="30">
        <v>48.333333333333336</v>
      </c>
      <c r="HS30" s="30">
        <v>30</v>
      </c>
      <c r="HT30" s="30"/>
      <c r="HU30" s="30" t="s">
        <v>235</v>
      </c>
      <c r="HV30" s="30">
        <v>1</v>
      </c>
      <c r="HW30" s="30">
        <v>35</v>
      </c>
      <c r="HX30" s="30">
        <v>100</v>
      </c>
      <c r="HY30" s="31" t="s">
        <v>924</v>
      </c>
      <c r="HZ30" s="31" t="s">
        <v>925</v>
      </c>
      <c r="IA30" s="30"/>
      <c r="IB30" s="32">
        <v>45154</v>
      </c>
      <c r="IC30" s="84">
        <f t="shared" si="7"/>
        <v>729</v>
      </c>
      <c r="ID30" s="30"/>
      <c r="IE30" s="30">
        <v>20</v>
      </c>
      <c r="IF30" s="30">
        <v>30</v>
      </c>
      <c r="IG30" s="30">
        <v>35</v>
      </c>
      <c r="IH30" s="30">
        <v>30</v>
      </c>
      <c r="II30" s="30">
        <v>50</v>
      </c>
      <c r="IJ30" s="30">
        <v>45</v>
      </c>
      <c r="IK30" s="30">
        <v>32.5</v>
      </c>
      <c r="IL30" s="30">
        <v>25</v>
      </c>
      <c r="IM30" s="30">
        <v>30</v>
      </c>
      <c r="IN30" s="30">
        <v>30</v>
      </c>
      <c r="IO30" s="30">
        <v>35</v>
      </c>
      <c r="IP30" s="30">
        <v>30</v>
      </c>
      <c r="IQ30" s="30">
        <v>50</v>
      </c>
      <c r="IR30" s="30">
        <v>50</v>
      </c>
      <c r="IS30" s="30">
        <v>80</v>
      </c>
      <c r="IT30" s="30"/>
      <c r="IU30" s="30"/>
      <c r="IV30" s="30"/>
      <c r="IW30" s="30"/>
      <c r="IX30" s="30"/>
      <c r="IY30" s="30"/>
      <c r="IZ30" s="30"/>
      <c r="JA30" s="30">
        <v>32.5</v>
      </c>
      <c r="JB30" s="30">
        <v>45</v>
      </c>
      <c r="JC30" s="30">
        <v>28.333333333333332</v>
      </c>
      <c r="JD30" s="30">
        <v>32.5</v>
      </c>
      <c r="JE30" s="30">
        <v>60</v>
      </c>
      <c r="JF30" s="30">
        <v>36.25</v>
      </c>
      <c r="JG30" s="30">
        <v>3</v>
      </c>
      <c r="JH30" s="30">
        <v>1</v>
      </c>
      <c r="JI30" s="30">
        <v>40</v>
      </c>
      <c r="JJ30" s="30">
        <v>100</v>
      </c>
      <c r="JK30" s="30">
        <v>20</v>
      </c>
      <c r="JL30" s="30">
        <v>15</v>
      </c>
      <c r="JM30" s="30">
        <v>25</v>
      </c>
      <c r="JN30" s="30">
        <v>40</v>
      </c>
      <c r="JO30" s="30">
        <v>45</v>
      </c>
      <c r="JP30" s="30">
        <v>45</v>
      </c>
      <c r="JQ30" s="30">
        <v>26.25</v>
      </c>
      <c r="JR30" s="30">
        <v>30</v>
      </c>
      <c r="JS30" s="30">
        <v>25</v>
      </c>
      <c r="JT30" s="30">
        <v>15</v>
      </c>
      <c r="JU30" s="30">
        <v>25</v>
      </c>
      <c r="JV30" s="30">
        <v>40</v>
      </c>
      <c r="JW30" s="30">
        <v>45</v>
      </c>
      <c r="JX30" s="30">
        <v>50</v>
      </c>
      <c r="JY30" s="30">
        <v>70</v>
      </c>
      <c r="JZ30" s="30"/>
      <c r="KA30" s="30"/>
      <c r="KB30" s="30"/>
      <c r="KC30" s="30"/>
      <c r="KD30" s="30"/>
      <c r="KE30" s="30"/>
      <c r="KF30" s="30"/>
      <c r="KG30" s="30">
        <v>26.25</v>
      </c>
      <c r="KH30" s="30">
        <v>40</v>
      </c>
      <c r="KI30" s="30">
        <v>23.333333333333332</v>
      </c>
      <c r="KJ30" s="30">
        <v>32.5</v>
      </c>
      <c r="KK30" s="30">
        <v>55</v>
      </c>
      <c r="KL30" s="30">
        <v>31.25</v>
      </c>
      <c r="KM30" s="30">
        <v>3</v>
      </c>
      <c r="KN30" s="30">
        <v>1</v>
      </c>
      <c r="KO30" s="30">
        <v>35</v>
      </c>
      <c r="KP30" s="30">
        <v>100</v>
      </c>
      <c r="KQ30" s="30" t="s">
        <v>926</v>
      </c>
      <c r="KR30" s="30" t="s">
        <v>927</v>
      </c>
      <c r="KS30" s="30"/>
    </row>
    <row r="31" spans="1:305" s="110" customFormat="1">
      <c r="A31" s="1" t="s">
        <v>976</v>
      </c>
      <c r="B31" s="115">
        <v>59</v>
      </c>
      <c r="C31" s="115">
        <v>50</v>
      </c>
      <c r="D31" s="115">
        <v>2</v>
      </c>
      <c r="E31">
        <v>44358</v>
      </c>
      <c r="F31" s="98">
        <v>45043</v>
      </c>
      <c r="G31" s="115"/>
      <c r="H31" s="115" t="s">
        <v>115</v>
      </c>
      <c r="I31" s="98">
        <v>45097</v>
      </c>
      <c r="J31" s="1" t="s">
        <v>964</v>
      </c>
      <c r="K31" s="115" t="s">
        <v>950</v>
      </c>
      <c r="L31"/>
      <c r="M31"/>
      <c r="N31"/>
      <c r="O31" s="125">
        <v>45096</v>
      </c>
      <c r="P31" s="117">
        <f>O31-I31</f>
        <v>-1</v>
      </c>
      <c r="Q31" s="119">
        <v>1</v>
      </c>
      <c r="R31" s="119">
        <v>0</v>
      </c>
      <c r="S31"/>
      <c r="T31" s="125">
        <v>45287</v>
      </c>
      <c r="U31" s="118">
        <f>T31-I31</f>
        <v>190</v>
      </c>
      <c r="V31" s="119">
        <v>0</v>
      </c>
      <c r="W31" s="98">
        <v>45194</v>
      </c>
      <c r="X31"/>
      <c r="Y31" s="116">
        <v>45096</v>
      </c>
      <c r="Z31" s="30">
        <f t="shared" si="4"/>
        <v>-1</v>
      </c>
      <c r="AA31" s="111"/>
      <c r="AB31" s="111">
        <v>15</v>
      </c>
      <c r="AC31" s="111">
        <v>30</v>
      </c>
      <c r="AD31" s="111">
        <v>25</v>
      </c>
      <c r="AE31" s="111">
        <v>40</v>
      </c>
      <c r="AF31" s="111">
        <v>40</v>
      </c>
      <c r="AG31" s="111">
        <v>35</v>
      </c>
      <c r="AH31" s="112">
        <f>(AC31+(AD31*2)+AE31)/4</f>
        <v>30</v>
      </c>
      <c r="AI31" s="111">
        <v>50</v>
      </c>
      <c r="AJ31" s="111">
        <v>50</v>
      </c>
      <c r="AK31" s="111">
        <v>35</v>
      </c>
      <c r="AL31" s="111">
        <v>35</v>
      </c>
      <c r="AM31" s="111">
        <v>40</v>
      </c>
      <c r="AN31" s="111">
        <v>40</v>
      </c>
      <c r="AO31" s="111">
        <v>45</v>
      </c>
      <c r="AP31" s="111">
        <v>40</v>
      </c>
      <c r="AQ31" s="113" t="s">
        <v>234</v>
      </c>
      <c r="AR31" s="113" t="s">
        <v>234</v>
      </c>
      <c r="AS31" s="113" t="s">
        <v>234</v>
      </c>
      <c r="AT31" s="113" t="s">
        <v>234</v>
      </c>
      <c r="AU31" s="113" t="s">
        <v>234</v>
      </c>
      <c r="AV31" s="113" t="s">
        <v>234</v>
      </c>
      <c r="AW31" s="113" t="s">
        <v>234</v>
      </c>
      <c r="AX31" s="112">
        <f>(AK31+(AL31*2)+AM31)/4</f>
        <v>36.25</v>
      </c>
      <c r="AY31" s="112">
        <f>AVERAGE(AK31,AL31,AM31,AO31,AP31)</f>
        <v>39</v>
      </c>
      <c r="AZ31" s="112">
        <f>AVERAGE(AI31:AK31)</f>
        <v>45</v>
      </c>
      <c r="BA31" s="112">
        <f>AVERAGE(AL31:AM31)</f>
        <v>37.5</v>
      </c>
      <c r="BB31" s="112">
        <f>AVERAGE(AN31:AP31)</f>
        <v>41.666666666666664</v>
      </c>
      <c r="BC31" s="112">
        <f>AVERAGE(AK31:AN31)</f>
        <v>37.5</v>
      </c>
      <c r="BD31" s="114">
        <v>4</v>
      </c>
      <c r="BE31" s="112">
        <f>IF(BC31&lt;=20,0,IF(BC31&lt;=40,1,IF(BC31&lt;=60,2,IF(BC31&lt;=80,3,IF(BC31&lt;=100,4,5)))))</f>
        <v>1</v>
      </c>
      <c r="BF31" s="111">
        <v>35</v>
      </c>
      <c r="BG31" s="111">
        <v>100</v>
      </c>
      <c r="BH31" s="111">
        <v>15</v>
      </c>
      <c r="BI31" s="111">
        <v>15</v>
      </c>
      <c r="BJ31" s="111">
        <v>25</v>
      </c>
      <c r="BK31" s="111">
        <v>20</v>
      </c>
      <c r="BL31" s="111">
        <v>25</v>
      </c>
      <c r="BM31" s="111">
        <v>20</v>
      </c>
      <c r="BN31" s="112">
        <f>(BI31+(BJ31*2)+BK31)/4</f>
        <v>21.25</v>
      </c>
      <c r="BO31" s="111">
        <v>20</v>
      </c>
      <c r="BP31" s="111">
        <v>20</v>
      </c>
      <c r="BQ31" s="111">
        <v>15</v>
      </c>
      <c r="BR31" s="111">
        <v>25</v>
      </c>
      <c r="BS31" s="111">
        <v>20</v>
      </c>
      <c r="BT31" s="111">
        <v>25</v>
      </c>
      <c r="BU31" s="111">
        <v>25</v>
      </c>
      <c r="BV31" s="111">
        <v>20</v>
      </c>
      <c r="BW31" s="113" t="s">
        <v>234</v>
      </c>
      <c r="BX31" s="113" t="s">
        <v>234</v>
      </c>
      <c r="BY31" s="113" t="s">
        <v>234</v>
      </c>
      <c r="BZ31" s="113" t="s">
        <v>234</v>
      </c>
      <c r="CA31" s="113" t="s">
        <v>234</v>
      </c>
      <c r="CB31" s="113" t="s">
        <v>234</v>
      </c>
      <c r="CC31" s="113" t="s">
        <v>234</v>
      </c>
      <c r="CD31" s="112">
        <f>(BQ31+(BR31*2)+BS31)/4</f>
        <v>21.25</v>
      </c>
      <c r="CE31" s="112">
        <f>AVERAGE(BQ31,BR31,BS31,BU31,BV31)</f>
        <v>21</v>
      </c>
      <c r="CF31" s="112">
        <f>AVERAGE(BO31:BQ31)</f>
        <v>18.333333333333332</v>
      </c>
      <c r="CG31" s="112">
        <f>AVERAGE(BR31:BS31)</f>
        <v>22.5</v>
      </c>
      <c r="CH31" s="112">
        <f>AVERAGE(BT31:BV31)</f>
        <v>23.333333333333332</v>
      </c>
      <c r="CI31" s="112">
        <f>AVERAGE(BQ31:BT31)</f>
        <v>21.25</v>
      </c>
      <c r="CJ31" s="111">
        <v>4</v>
      </c>
      <c r="CK31" s="112">
        <f>IF(CI31&lt;=20,0,IF(CI31&lt;=40,1,IF(CI31&lt;=60,2,IF(CI31&lt;=80,3,IF(CI31&lt;=100,4,5)))))</f>
        <v>1</v>
      </c>
      <c r="CL31" s="111">
        <v>25</v>
      </c>
      <c r="CM31" s="111">
        <v>100</v>
      </c>
      <c r="CN31" s="111" t="s">
        <v>952</v>
      </c>
      <c r="CO31" s="111" t="s">
        <v>953</v>
      </c>
      <c r="CP31" s="111"/>
      <c r="CQ31" s="67">
        <v>45194</v>
      </c>
      <c r="CR31" s="111"/>
      <c r="CS31" s="111"/>
      <c r="CT31" s="111">
        <v>15</v>
      </c>
      <c r="CU31" s="111">
        <v>20</v>
      </c>
      <c r="CV31" s="111">
        <v>25</v>
      </c>
      <c r="CW31" s="111">
        <v>30</v>
      </c>
      <c r="CX31" s="111">
        <v>30</v>
      </c>
      <c r="CY31" s="111">
        <v>35</v>
      </c>
      <c r="CZ31" s="112">
        <f>(CU31+(CV31*2)+CW31)/4</f>
        <v>25</v>
      </c>
      <c r="DA31" s="111">
        <v>30</v>
      </c>
      <c r="DB31" s="111">
        <v>30</v>
      </c>
      <c r="DC31" s="111">
        <v>20</v>
      </c>
      <c r="DD31" s="111">
        <v>30</v>
      </c>
      <c r="DE31" s="111">
        <v>30</v>
      </c>
      <c r="DF31" s="111">
        <v>30</v>
      </c>
      <c r="DG31" s="111">
        <v>35</v>
      </c>
      <c r="DH31" s="111">
        <v>35</v>
      </c>
      <c r="DI31" s="111" t="s">
        <v>277</v>
      </c>
      <c r="DJ31" s="111" t="s">
        <v>277</v>
      </c>
      <c r="DK31" s="111" t="s">
        <v>277</v>
      </c>
      <c r="DL31" s="111" t="s">
        <v>277</v>
      </c>
      <c r="DM31" s="111" t="s">
        <v>277</v>
      </c>
      <c r="DN31" s="111" t="s">
        <v>277</v>
      </c>
      <c r="DO31" s="111" t="s">
        <v>277</v>
      </c>
      <c r="DP31" s="112">
        <f>(DC31+(DD31*2)+DE31)/4</f>
        <v>27.5</v>
      </c>
      <c r="DQ31" s="112">
        <f>AVERAGE(DC31,DD31,DE31,DG31,DH31)</f>
        <v>30</v>
      </c>
      <c r="DR31" s="112">
        <f>AVERAGE(DA31:DC31)</f>
        <v>26.666666666666668</v>
      </c>
      <c r="DS31" s="112">
        <f>AVERAGE(DD31:DE31)</f>
        <v>30</v>
      </c>
      <c r="DT31" s="112">
        <f>AVERAGE(DF31:DH31)</f>
        <v>33.333333333333336</v>
      </c>
      <c r="DU31" s="112">
        <f>AVERAGE(DC31:DF31)</f>
        <v>27.5</v>
      </c>
      <c r="DV31" s="111">
        <v>4</v>
      </c>
      <c r="DW31" s="112">
        <f>IF(DU31&lt;=20,0,IF(DU31&lt;=40,1,IF(DU31&lt;=60,2,IF(DU31&lt;=80,3,IF(DU31&lt;=100,4,5)))))</f>
        <v>1</v>
      </c>
      <c r="DX31" s="111">
        <v>20</v>
      </c>
      <c r="DY31" s="111">
        <v>100</v>
      </c>
      <c r="DZ31" s="111">
        <v>15</v>
      </c>
      <c r="EA31" s="111">
        <v>20</v>
      </c>
      <c r="EB31" s="111">
        <v>25</v>
      </c>
      <c r="EC31" s="111">
        <v>15</v>
      </c>
      <c r="ED31" s="111">
        <v>25</v>
      </c>
      <c r="EE31" s="111">
        <v>30</v>
      </c>
      <c r="EF31" s="112">
        <f>(EA31+(EB31*2)+EC31)/4</f>
        <v>21.25</v>
      </c>
      <c r="EG31" s="111">
        <v>25</v>
      </c>
      <c r="EH31" s="111">
        <v>15</v>
      </c>
      <c r="EI31" s="111">
        <v>20</v>
      </c>
      <c r="EJ31" s="111">
        <v>25</v>
      </c>
      <c r="EK31" s="111">
        <v>15</v>
      </c>
      <c r="EL31" s="111">
        <v>25</v>
      </c>
      <c r="EM31" s="111">
        <v>30</v>
      </c>
      <c r="EN31" s="111">
        <v>10</v>
      </c>
      <c r="EO31" s="111" t="s">
        <v>277</v>
      </c>
      <c r="EP31" s="111" t="s">
        <v>277</v>
      </c>
      <c r="EQ31" s="111" t="s">
        <v>277</v>
      </c>
      <c r="ER31" s="111" t="s">
        <v>277</v>
      </c>
      <c r="ES31" s="111" t="s">
        <v>277</v>
      </c>
      <c r="ET31" s="111" t="s">
        <v>277</v>
      </c>
      <c r="EU31" s="111" t="s">
        <v>277</v>
      </c>
      <c r="EV31" s="112">
        <f>(EI31+(EJ31*2)+EK31)/4</f>
        <v>21.25</v>
      </c>
      <c r="EW31" s="112">
        <f>AVERAGE(EI31,EJ31,EK31,EM31,EN31)</f>
        <v>20</v>
      </c>
      <c r="EX31" s="112">
        <f>AVERAGE(EG31:EI31)</f>
        <v>20</v>
      </c>
      <c r="EY31" s="112">
        <f>AVERAGE(EJ31:EK31)</f>
        <v>20</v>
      </c>
      <c r="EZ31" s="112">
        <f>AVERAGE(EL31:EN31)</f>
        <v>21.666666666666668</v>
      </c>
      <c r="FA31" s="112">
        <f>AVERAGE(EI31:EL31)</f>
        <v>21.25</v>
      </c>
      <c r="FB31" s="111">
        <v>6</v>
      </c>
      <c r="FC31" s="112">
        <f>IF(FA31&lt;=20,0,IF(FA31&lt;=40,1,IF(FA31&lt;=60,2,IF(FA31&lt;=80,3,IF(FA31&lt;=100,4,5)))))</f>
        <v>1</v>
      </c>
      <c r="FD31" s="111">
        <v>20</v>
      </c>
      <c r="FE31" s="111">
        <v>100</v>
      </c>
      <c r="FF31" s="111" t="s">
        <v>954</v>
      </c>
      <c r="FG31" s="111" t="s">
        <v>955</v>
      </c>
      <c r="FH31" s="111"/>
      <c r="FI31" s="67">
        <v>45286</v>
      </c>
      <c r="FJ31" s="30">
        <f t="shared" si="6"/>
        <v>189</v>
      </c>
      <c r="FK31" s="111"/>
      <c r="FL31" s="111">
        <v>15</v>
      </c>
      <c r="FM31" s="111">
        <v>15</v>
      </c>
      <c r="FN31" s="111">
        <v>25</v>
      </c>
      <c r="FO31" s="111">
        <v>25</v>
      </c>
      <c r="FP31" s="111">
        <v>35</v>
      </c>
      <c r="FQ31" s="111">
        <v>40</v>
      </c>
      <c r="FR31" s="112">
        <f>(FM31+(FN31*2)+FO31)/4</f>
        <v>22.5</v>
      </c>
      <c r="FS31" s="111">
        <v>25</v>
      </c>
      <c r="FT31" s="111">
        <v>25</v>
      </c>
      <c r="FU31" s="111">
        <v>15</v>
      </c>
      <c r="FV31" s="111">
        <v>25</v>
      </c>
      <c r="FW31" s="111">
        <v>25</v>
      </c>
      <c r="FX31" s="111">
        <v>35</v>
      </c>
      <c r="FY31" s="111">
        <v>40</v>
      </c>
      <c r="FZ31" s="111">
        <v>30</v>
      </c>
      <c r="GA31" s="111" t="s">
        <v>234</v>
      </c>
      <c r="GB31" s="111" t="s">
        <v>234</v>
      </c>
      <c r="GC31" s="111" t="s">
        <v>234</v>
      </c>
      <c r="GD31" s="111" t="s">
        <v>234</v>
      </c>
      <c r="GE31" s="111" t="s">
        <v>234</v>
      </c>
      <c r="GF31" s="111" t="s">
        <v>234</v>
      </c>
      <c r="GG31" s="111" t="s">
        <v>234</v>
      </c>
      <c r="GH31" s="112">
        <f>(FU31+(FV31*2)+FW31)/4</f>
        <v>22.5</v>
      </c>
      <c r="GI31" s="112">
        <f>AVERAGE(FU31,FV31,FW31,FY31,FZ31)</f>
        <v>27</v>
      </c>
      <c r="GJ31" s="112">
        <f>AVERAGE(FS31:FU31)</f>
        <v>21.666666666666668</v>
      </c>
      <c r="GK31" s="112">
        <f>AVERAGE(FV31:FW31)</f>
        <v>25</v>
      </c>
      <c r="GL31" s="112">
        <f>AVERAGE(FX31:FZ31)</f>
        <v>35</v>
      </c>
      <c r="GM31" s="112">
        <f>AVERAGE(FU31:FX31)</f>
        <v>25</v>
      </c>
      <c r="GN31" s="111">
        <v>6</v>
      </c>
      <c r="GO31" s="112">
        <f>IF(GM31&lt;=20,0,IF(GM31&lt;=40,1,IF(GM31&lt;=60,2,IF(GM31&lt;=80,3,IF(GM31&lt;=100,4,5)))))</f>
        <v>1</v>
      </c>
      <c r="GP31" s="111">
        <v>25</v>
      </c>
      <c r="GQ31" s="111">
        <v>100</v>
      </c>
      <c r="GR31" s="111">
        <v>15</v>
      </c>
      <c r="GS31" s="111">
        <v>15</v>
      </c>
      <c r="GT31" s="111">
        <v>25</v>
      </c>
      <c r="GU31" s="111">
        <v>20</v>
      </c>
      <c r="GV31" s="111">
        <v>25</v>
      </c>
      <c r="GW31" s="111">
        <v>30</v>
      </c>
      <c r="GX31" s="111">
        <f>(GS31+(GT31*2)+GU31)/4</f>
        <v>21.25</v>
      </c>
      <c r="GY31" s="111">
        <v>25</v>
      </c>
      <c r="GZ31" s="111">
        <v>15</v>
      </c>
      <c r="HA31" s="111">
        <v>15</v>
      </c>
      <c r="HB31" s="111">
        <v>25</v>
      </c>
      <c r="HC31" s="111">
        <v>20</v>
      </c>
      <c r="HD31" s="111">
        <v>25</v>
      </c>
      <c r="HE31" s="111">
        <v>30</v>
      </c>
      <c r="HF31" s="111">
        <v>10</v>
      </c>
      <c r="HG31" s="111" t="s">
        <v>277</v>
      </c>
      <c r="HH31" s="111" t="s">
        <v>277</v>
      </c>
      <c r="HI31" s="111" t="s">
        <v>277</v>
      </c>
      <c r="HJ31" s="111" t="s">
        <v>277</v>
      </c>
      <c r="HK31" s="111" t="s">
        <v>277</v>
      </c>
      <c r="HL31" s="111" t="s">
        <v>277</v>
      </c>
      <c r="HM31" s="111" t="s">
        <v>277</v>
      </c>
      <c r="HN31" s="111">
        <f>(HA31+(HB31*2)+HC31)/4</f>
        <v>21.25</v>
      </c>
      <c r="HO31" s="111">
        <f>AVERAGE(HA31,HB31,HC31,HE31,HF31)</f>
        <v>20</v>
      </c>
      <c r="HP31" s="111">
        <f>AVERAGE(GY31:HA31)</f>
        <v>18.333333333333332</v>
      </c>
      <c r="HQ31" s="111">
        <f>AVERAGE(HB31:HC31)</f>
        <v>22.5</v>
      </c>
      <c r="HR31" s="111">
        <f>AVERAGE(HD31:HF31)</f>
        <v>21.666666666666668</v>
      </c>
      <c r="HS31" s="111">
        <f>AVERAGE(HA31:HD31)</f>
        <v>21.25</v>
      </c>
      <c r="HT31" s="111">
        <v>6</v>
      </c>
      <c r="HU31" s="111">
        <f>IF(HS31&lt;=20,0,IF(HS31&lt;=40,1,IF(HS31&lt;=60,2,IF(HS31&lt;=80,3,IF(HS31&lt;=100,4,5)))))</f>
        <v>1</v>
      </c>
      <c r="HV31" s="111">
        <v>20</v>
      </c>
      <c r="HW31" s="111">
        <v>100</v>
      </c>
      <c r="HX31" s="111" t="s">
        <v>956</v>
      </c>
      <c r="HY31" s="111" t="s">
        <v>957</v>
      </c>
      <c r="HZ31" s="111"/>
      <c r="IA31" s="111"/>
      <c r="IB31" s="111"/>
      <c r="IC31" s="111"/>
      <c r="ID31" s="111"/>
      <c r="IE31" s="111"/>
      <c r="IF31" s="111"/>
      <c r="IG31" s="111"/>
      <c r="IH31" s="111"/>
      <c r="II31" s="111"/>
      <c r="IJ31" s="111"/>
      <c r="IK31" s="111"/>
      <c r="IL31" s="111"/>
      <c r="IM31" s="111"/>
      <c r="IN31" s="111"/>
      <c r="IO31" s="111"/>
      <c r="IP31" s="111"/>
      <c r="IQ31" s="111"/>
      <c r="IR31" s="111"/>
      <c r="IS31" s="111" t="s">
        <v>277</v>
      </c>
      <c r="IT31" s="111" t="s">
        <v>277</v>
      </c>
      <c r="IU31" s="111" t="s">
        <v>277</v>
      </c>
      <c r="IV31" s="111" t="s">
        <v>277</v>
      </c>
      <c r="IW31" s="111" t="s">
        <v>277</v>
      </c>
      <c r="IX31" s="111" t="s">
        <v>277</v>
      </c>
      <c r="IY31" s="111" t="s">
        <v>277</v>
      </c>
      <c r="IZ31" s="111">
        <f>(IM31+(IN31*2)+IO31)/4</f>
        <v>0</v>
      </c>
      <c r="JA31" s="111" t="e">
        <f>AVERAGE(IM31,IN31,IO31,IQ31,IR31)</f>
        <v>#DIV/0!</v>
      </c>
      <c r="JB31" s="111" t="e">
        <f>AVERAGE(IK31:IM31)</f>
        <v>#DIV/0!</v>
      </c>
      <c r="JC31" s="111" t="e">
        <f>AVERAGE(IN31:IO31)</f>
        <v>#DIV/0!</v>
      </c>
      <c r="JD31" s="111" t="e">
        <f>AVERAGE(IP31:IR31)</f>
        <v>#DIV/0!</v>
      </c>
      <c r="JE31" s="111" t="e">
        <f>AVERAGE(IM31:IP31)</f>
        <v>#DIV/0!</v>
      </c>
      <c r="JF31" s="111" t="e">
        <v>#DIV/0!</v>
      </c>
      <c r="JG31" s="111" t="e">
        <f>IF(JE31&lt;=20,0,IF(JE31&lt;=40,1,IF(JE31&lt;=60,2,IF(JE31&lt;=80,3,IF(JE31&lt;=100,4,5)))))</f>
        <v>#DIV/0!</v>
      </c>
      <c r="JH31" s="111"/>
      <c r="JI31" s="111"/>
      <c r="JJ31" s="111"/>
      <c r="JK31" s="111"/>
      <c r="JL31" s="111"/>
      <c r="JM31" s="111"/>
      <c r="JN31" s="111"/>
      <c r="JO31" s="111"/>
      <c r="JP31" s="111">
        <f>(JK31+(JL31*2)+JM31)/4</f>
        <v>0</v>
      </c>
      <c r="JQ31" s="111"/>
      <c r="JR31" s="111"/>
      <c r="JS31" s="111"/>
      <c r="JT31" s="111"/>
      <c r="JU31" s="111"/>
      <c r="JV31" s="111"/>
      <c r="JW31" s="111"/>
      <c r="JX31" s="111"/>
      <c r="JY31" s="111" t="s">
        <v>277</v>
      </c>
      <c r="JZ31" s="111" t="s">
        <v>277</v>
      </c>
      <c r="KA31" s="111" t="s">
        <v>277</v>
      </c>
      <c r="KB31" s="111" t="s">
        <v>277</v>
      </c>
      <c r="KC31" s="111" t="s">
        <v>277</v>
      </c>
      <c r="KD31" s="111" t="s">
        <v>277</v>
      </c>
      <c r="KE31" s="111" t="s">
        <v>277</v>
      </c>
      <c r="KF31" s="111">
        <f>(JS31+(JT31*2)+JU31)/4</f>
        <v>0</v>
      </c>
      <c r="KG31" s="111" t="e">
        <f>AVERAGE(JS31,JT31,JU31,JW31,JX31)</f>
        <v>#DIV/0!</v>
      </c>
      <c r="KH31" s="111" t="e">
        <f>AVERAGE(JQ31:JS31)</f>
        <v>#DIV/0!</v>
      </c>
      <c r="KI31" s="111" t="e">
        <f>AVERAGE(JT31:JU31)</f>
        <v>#DIV/0!</v>
      </c>
      <c r="KJ31" s="111" t="e">
        <f>AVERAGE(JV31:JX31)</f>
        <v>#DIV/0!</v>
      </c>
      <c r="KK31" s="111" t="e">
        <f>AVERAGE(JS31:JV31)</f>
        <v>#DIV/0!</v>
      </c>
      <c r="KL31" s="111" t="e">
        <v>#DIV/0!</v>
      </c>
      <c r="KM31" s="111" t="e">
        <f>IF(KK31&lt;=20,0,IF(KK31&lt;=40,1,IF(KK31&lt;=60,2,IF(KK31&lt;=80,3,IF(KK31&lt;=100,4,5)))))</f>
        <v>#DIV/0!</v>
      </c>
      <c r="KN31" s="111"/>
      <c r="KO31" s="111"/>
      <c r="KP31" s="111"/>
      <c r="KQ31" s="111"/>
      <c r="KR31" s="111"/>
    </row>
    <row r="32" spans="1:305" s="110" customFormat="1">
      <c r="A32" s="1" t="s">
        <v>977</v>
      </c>
      <c r="B32" s="115">
        <v>62</v>
      </c>
      <c r="C32" s="115">
        <v>60</v>
      </c>
      <c r="D32" s="115">
        <v>1</v>
      </c>
      <c r="E32">
        <v>44357</v>
      </c>
      <c r="F32" s="98">
        <v>45043</v>
      </c>
      <c r="G32" s="115"/>
      <c r="H32" s="115" t="s">
        <v>115</v>
      </c>
      <c r="I32" s="98">
        <v>45043</v>
      </c>
      <c r="J32" s="1" t="s">
        <v>964</v>
      </c>
      <c r="K32" s="115" t="s">
        <v>950</v>
      </c>
      <c r="L32"/>
      <c r="M32"/>
      <c r="N32"/>
      <c r="O32" s="124">
        <v>45042</v>
      </c>
      <c r="P32" s="117">
        <f>O32-I32</f>
        <v>-1</v>
      </c>
      <c r="Q32" s="119">
        <v>4</v>
      </c>
      <c r="R32" s="119">
        <v>0</v>
      </c>
      <c r="S32"/>
      <c r="T32" s="124">
        <v>45222</v>
      </c>
      <c r="U32" s="118">
        <f>T32-I32</f>
        <v>179</v>
      </c>
      <c r="V32" s="119">
        <v>0</v>
      </c>
      <c r="W32" s="119">
        <v>0</v>
      </c>
      <c r="X32"/>
      <c r="Y32" s="116">
        <v>45042</v>
      </c>
      <c r="Z32" s="30">
        <f t="shared" si="4"/>
        <v>-1</v>
      </c>
      <c r="AA32" s="111"/>
      <c r="AB32" s="111">
        <v>5</v>
      </c>
      <c r="AC32" s="111">
        <v>15</v>
      </c>
      <c r="AD32" s="111">
        <v>20</v>
      </c>
      <c r="AE32" s="111">
        <v>30</v>
      </c>
      <c r="AF32" s="111">
        <v>30</v>
      </c>
      <c r="AG32" s="111">
        <v>25</v>
      </c>
      <c r="AH32" s="112">
        <f>(AC32+(AD32*2)+AE32)/4</f>
        <v>21.25</v>
      </c>
      <c r="AI32" s="111">
        <v>35</v>
      </c>
      <c r="AJ32" s="111">
        <v>35</v>
      </c>
      <c r="AK32" s="111">
        <v>20</v>
      </c>
      <c r="AL32" s="111">
        <v>35</v>
      </c>
      <c r="AM32" s="111">
        <v>35</v>
      </c>
      <c r="AN32" s="111">
        <v>55</v>
      </c>
      <c r="AO32" s="111">
        <v>60</v>
      </c>
      <c r="AP32" s="111">
        <v>60</v>
      </c>
      <c r="AQ32" s="113" t="s">
        <v>234</v>
      </c>
      <c r="AR32" s="113" t="s">
        <v>234</v>
      </c>
      <c r="AS32" s="113" t="s">
        <v>234</v>
      </c>
      <c r="AT32" s="113" t="s">
        <v>234</v>
      </c>
      <c r="AU32" s="113" t="s">
        <v>234</v>
      </c>
      <c r="AV32" s="113" t="s">
        <v>234</v>
      </c>
      <c r="AW32" s="113" t="s">
        <v>234</v>
      </c>
      <c r="AX32" s="112">
        <f>(AK32+(AL32*2)+AM32)/4</f>
        <v>31.25</v>
      </c>
      <c r="AY32" s="112">
        <f>AVERAGE(AK32,AL32,AM32,AO32,AP32)</f>
        <v>42</v>
      </c>
      <c r="AZ32" s="112">
        <f>AVERAGE(AI32:AK32)</f>
        <v>30</v>
      </c>
      <c r="BA32" s="112">
        <f>AVERAGE(AL32:AM32)</f>
        <v>35</v>
      </c>
      <c r="BB32" s="112">
        <f>AVERAGE(AN32:AP32)</f>
        <v>58.333333333333336</v>
      </c>
      <c r="BC32" s="112">
        <f>AVERAGE(AK32:AN32)</f>
        <v>36.25</v>
      </c>
      <c r="BD32" s="114">
        <v>3</v>
      </c>
      <c r="BE32" s="112">
        <f>IF(BC32&lt;=20,0,IF(BC32&lt;=40,1,IF(BC32&lt;=60,2,IF(BC32&lt;=80,3,IF(BC32&lt;=100,4,5)))))</f>
        <v>1</v>
      </c>
      <c r="BF32" s="111">
        <v>35</v>
      </c>
      <c r="BG32" s="111">
        <v>92</v>
      </c>
      <c r="BH32" s="111">
        <v>25</v>
      </c>
      <c r="BI32" s="111">
        <v>15</v>
      </c>
      <c r="BJ32" s="111">
        <v>15</v>
      </c>
      <c r="BK32" s="111">
        <v>15</v>
      </c>
      <c r="BL32" s="111">
        <v>15</v>
      </c>
      <c r="BM32" s="111">
        <v>25</v>
      </c>
      <c r="BN32" s="112">
        <f>(BI32+(BJ32*2)+BK32)/4</f>
        <v>15</v>
      </c>
      <c r="BO32" s="111">
        <v>30</v>
      </c>
      <c r="BP32" s="111">
        <v>25</v>
      </c>
      <c r="BQ32" s="111">
        <v>15</v>
      </c>
      <c r="BR32" s="111">
        <v>15</v>
      </c>
      <c r="BS32" s="111">
        <v>15</v>
      </c>
      <c r="BT32" s="111">
        <v>15</v>
      </c>
      <c r="BU32" s="111">
        <v>25</v>
      </c>
      <c r="BV32" s="111">
        <v>35</v>
      </c>
      <c r="BW32" s="113" t="s">
        <v>234</v>
      </c>
      <c r="BX32" s="113" t="s">
        <v>234</v>
      </c>
      <c r="BY32" s="113" t="s">
        <v>234</v>
      </c>
      <c r="BZ32" s="113" t="s">
        <v>234</v>
      </c>
      <c r="CA32" s="113" t="s">
        <v>234</v>
      </c>
      <c r="CB32" s="113" t="s">
        <v>234</v>
      </c>
      <c r="CC32" s="113" t="s">
        <v>234</v>
      </c>
      <c r="CD32" s="112">
        <f>(BQ32+(BR32*2)+BS32)/4</f>
        <v>15</v>
      </c>
      <c r="CE32" s="112">
        <f>AVERAGE(BQ32,BR32,BS32,BU32,BV32)</f>
        <v>21</v>
      </c>
      <c r="CF32" s="112">
        <f>AVERAGE(BO32:BQ32)</f>
        <v>23.333333333333332</v>
      </c>
      <c r="CG32" s="112">
        <f>AVERAGE(BR32:BS32)</f>
        <v>15</v>
      </c>
      <c r="CH32" s="112">
        <f>AVERAGE(BT32:BV32)</f>
        <v>25</v>
      </c>
      <c r="CI32" s="112">
        <f>AVERAGE(BQ32:BT32)</f>
        <v>15</v>
      </c>
      <c r="CJ32" s="113" t="s">
        <v>235</v>
      </c>
      <c r="CK32" s="112">
        <f>IF(CI32&lt;=20,0,IF(CI32&lt;=40,1,IF(CI32&lt;=60,2,IF(CI32&lt;=80,3,IF(CI32&lt;=100,4,5)))))</f>
        <v>0</v>
      </c>
      <c r="CL32" s="111">
        <v>15</v>
      </c>
      <c r="CM32" s="111">
        <v>100</v>
      </c>
      <c r="CN32" s="113" t="s">
        <v>958</v>
      </c>
      <c r="CO32" s="111" t="s">
        <v>959</v>
      </c>
      <c r="CP32" s="111"/>
      <c r="CQ32" s="67">
        <v>45148</v>
      </c>
      <c r="CR32" s="111"/>
      <c r="CS32" s="111"/>
      <c r="CT32" s="111">
        <v>5</v>
      </c>
      <c r="CU32" s="111">
        <v>30</v>
      </c>
      <c r="CV32" s="111">
        <v>20</v>
      </c>
      <c r="CW32" s="111">
        <v>25</v>
      </c>
      <c r="CX32" s="111">
        <v>35</v>
      </c>
      <c r="CY32" s="111">
        <v>40</v>
      </c>
      <c r="CZ32" s="112">
        <f>(CU32+(CV32*2)+CW32)/4</f>
        <v>23.75</v>
      </c>
      <c r="DA32" s="111">
        <v>30</v>
      </c>
      <c r="DB32" s="111">
        <v>35</v>
      </c>
      <c r="DC32" s="111">
        <v>30</v>
      </c>
      <c r="DD32" s="111">
        <v>30</v>
      </c>
      <c r="DE32" s="111">
        <v>25</v>
      </c>
      <c r="DF32" s="111">
        <v>35</v>
      </c>
      <c r="DG32" s="111">
        <v>50</v>
      </c>
      <c r="DH32" s="111">
        <v>60</v>
      </c>
      <c r="DI32" s="111" t="s">
        <v>277</v>
      </c>
      <c r="DJ32" s="111" t="s">
        <v>277</v>
      </c>
      <c r="DK32" s="111" t="s">
        <v>277</v>
      </c>
      <c r="DL32" s="111" t="s">
        <v>277</v>
      </c>
      <c r="DM32" s="111" t="s">
        <v>277</v>
      </c>
      <c r="DN32" s="111" t="s">
        <v>277</v>
      </c>
      <c r="DO32" s="111" t="s">
        <v>277</v>
      </c>
      <c r="DP32" s="112">
        <f>(DC32+(DD32*2)+DE32)/4</f>
        <v>28.75</v>
      </c>
      <c r="DQ32" s="112">
        <f>AVERAGE(DC32,DD32,DE32,DG32,DH32)</f>
        <v>39</v>
      </c>
      <c r="DR32" s="112">
        <f>AVERAGE(DA32:DC32)</f>
        <v>31.666666666666668</v>
      </c>
      <c r="DS32" s="112">
        <f>AVERAGE(DD32:DE32)</f>
        <v>27.5</v>
      </c>
      <c r="DT32" s="112">
        <f>AVERAGE(DF32:DH32)</f>
        <v>48.333333333333336</v>
      </c>
      <c r="DU32" s="112">
        <f>AVERAGE(DC32:DF32)</f>
        <v>30</v>
      </c>
      <c r="DV32" s="111">
        <v>6</v>
      </c>
      <c r="DW32" s="112">
        <f>IF(DU32&lt;=20,0,IF(DU32&lt;=40,1,IF(DU32&lt;=60,2,IF(DU32&lt;=80,3,IF(DU32&lt;=100,4,5)))))</f>
        <v>1</v>
      </c>
      <c r="DX32" s="111">
        <v>30</v>
      </c>
      <c r="DY32" s="111">
        <v>100</v>
      </c>
      <c r="DZ32" s="111">
        <v>15</v>
      </c>
      <c r="EA32" s="111">
        <v>15</v>
      </c>
      <c r="EB32" s="111">
        <v>20</v>
      </c>
      <c r="EC32" s="111">
        <v>20</v>
      </c>
      <c r="ED32" s="111">
        <v>20</v>
      </c>
      <c r="EE32" s="111">
        <v>35</v>
      </c>
      <c r="EF32" s="112">
        <f>(EA32+(EB32*2)+EC32)/4</f>
        <v>18.75</v>
      </c>
      <c r="EG32" s="111">
        <v>25</v>
      </c>
      <c r="EH32" s="111">
        <v>15</v>
      </c>
      <c r="EI32" s="111">
        <v>15</v>
      </c>
      <c r="EJ32" s="111">
        <v>20</v>
      </c>
      <c r="EK32" s="111">
        <v>20</v>
      </c>
      <c r="EL32" s="111">
        <v>20</v>
      </c>
      <c r="EM32" s="111">
        <v>35</v>
      </c>
      <c r="EN32" s="111">
        <v>40</v>
      </c>
      <c r="EO32" s="111" t="s">
        <v>277</v>
      </c>
      <c r="EP32" s="111" t="s">
        <v>277</v>
      </c>
      <c r="EQ32" s="111" t="s">
        <v>277</v>
      </c>
      <c r="ER32" s="111" t="s">
        <v>277</v>
      </c>
      <c r="ES32" s="111" t="s">
        <v>277</v>
      </c>
      <c r="ET32" s="111" t="s">
        <v>277</v>
      </c>
      <c r="EU32" s="111" t="s">
        <v>277</v>
      </c>
      <c r="EV32" s="112">
        <f>(EI32+(EJ32*2)+EK32)/4</f>
        <v>18.75</v>
      </c>
      <c r="EW32" s="112">
        <f>AVERAGE(EI32,EJ32,EK32,EM32,EN32)</f>
        <v>26</v>
      </c>
      <c r="EX32" s="112">
        <f>AVERAGE(EG32:EI32)</f>
        <v>18.333333333333332</v>
      </c>
      <c r="EY32" s="112">
        <f>AVERAGE(EJ32:EK32)</f>
        <v>20</v>
      </c>
      <c r="EZ32" s="112">
        <f>AVERAGE(EL32:EN32)</f>
        <v>31.666666666666668</v>
      </c>
      <c r="FA32" s="112">
        <f>AVERAGE(EI32:EL32)</f>
        <v>18.75</v>
      </c>
      <c r="FB32" s="111">
        <v>6</v>
      </c>
      <c r="FC32" s="112">
        <f>IF(FA32&lt;=20,0,IF(FA32&lt;=40,1,IF(FA32&lt;=60,2,IF(FA32&lt;=80,3,IF(FA32&lt;=100,4,5)))))</f>
        <v>0</v>
      </c>
      <c r="FD32" s="111">
        <v>20</v>
      </c>
      <c r="FE32" s="111">
        <v>100</v>
      </c>
      <c r="FF32" s="111" t="s">
        <v>960</v>
      </c>
      <c r="FG32" s="111" t="s">
        <v>961</v>
      </c>
      <c r="FH32" s="111"/>
      <c r="FI32" s="67">
        <v>45222</v>
      </c>
      <c r="FJ32" s="30">
        <f t="shared" si="6"/>
        <v>179</v>
      </c>
      <c r="FK32" s="111"/>
      <c r="FL32" s="111">
        <v>5</v>
      </c>
      <c r="FM32" s="111">
        <v>25</v>
      </c>
      <c r="FN32" s="111">
        <v>15</v>
      </c>
      <c r="FO32" s="111">
        <v>20</v>
      </c>
      <c r="FP32" s="111">
        <v>30</v>
      </c>
      <c r="FQ32" s="111">
        <v>35</v>
      </c>
      <c r="FR32" s="112">
        <f>(FM32+(FN32*2)+FO32)/4</f>
        <v>18.75</v>
      </c>
      <c r="FS32" s="111">
        <v>45</v>
      </c>
      <c r="FT32" s="111">
        <v>45</v>
      </c>
      <c r="FU32" s="111">
        <v>35</v>
      </c>
      <c r="FV32" s="111">
        <v>30</v>
      </c>
      <c r="FW32" s="111">
        <v>20</v>
      </c>
      <c r="FX32" s="111">
        <v>30</v>
      </c>
      <c r="FY32" s="111">
        <v>40</v>
      </c>
      <c r="FZ32" s="111">
        <v>60</v>
      </c>
      <c r="GA32" s="111" t="s">
        <v>234</v>
      </c>
      <c r="GB32" s="111" t="s">
        <v>234</v>
      </c>
      <c r="GC32" s="111" t="s">
        <v>234</v>
      </c>
      <c r="GD32" s="111" t="s">
        <v>234</v>
      </c>
      <c r="GE32" s="111" t="s">
        <v>234</v>
      </c>
      <c r="GF32" s="111" t="s">
        <v>234</v>
      </c>
      <c r="GG32" s="111" t="s">
        <v>234</v>
      </c>
      <c r="GH32" s="112">
        <f>(FU32+(FV32*2)+FW32)/4</f>
        <v>28.75</v>
      </c>
      <c r="GI32" s="112">
        <f>AVERAGE(FU32,FV32,FW32,FY32,FZ32)</f>
        <v>37</v>
      </c>
      <c r="GJ32" s="112">
        <f>AVERAGE(FS32:FU32)</f>
        <v>41.666666666666664</v>
      </c>
      <c r="GK32" s="112">
        <f>AVERAGE(FV32:FW32)</f>
        <v>25</v>
      </c>
      <c r="GL32" s="112">
        <f>AVERAGE(FX32:FZ32)</f>
        <v>43.333333333333336</v>
      </c>
      <c r="GM32" s="112">
        <f>AVERAGE(FU32:FX32)</f>
        <v>28.75</v>
      </c>
      <c r="GN32" s="111" t="s">
        <v>235</v>
      </c>
      <c r="GO32" s="112">
        <f>IF(GM32&lt;=20,0,IF(GM32&lt;=40,1,IF(GM32&lt;=60,2,IF(GM32&lt;=80,3,IF(GM32&lt;=100,4,5)))))</f>
        <v>1</v>
      </c>
      <c r="GP32" s="111">
        <v>15</v>
      </c>
      <c r="GQ32" s="111">
        <v>100</v>
      </c>
      <c r="GR32" s="111">
        <v>15</v>
      </c>
      <c r="GS32" s="111">
        <v>10</v>
      </c>
      <c r="GT32" s="111">
        <v>20</v>
      </c>
      <c r="GU32" s="111">
        <v>20</v>
      </c>
      <c r="GV32" s="111">
        <v>25</v>
      </c>
      <c r="GW32" s="111">
        <v>35</v>
      </c>
      <c r="GX32" s="111">
        <f>(GS32+(GT32*2)+GU32)/4</f>
        <v>17.5</v>
      </c>
      <c r="GY32" s="111">
        <v>15</v>
      </c>
      <c r="GZ32" s="111">
        <v>15</v>
      </c>
      <c r="HA32" s="111">
        <v>10</v>
      </c>
      <c r="HB32" s="111">
        <v>20</v>
      </c>
      <c r="HC32" s="111">
        <v>20</v>
      </c>
      <c r="HD32" s="111">
        <v>25</v>
      </c>
      <c r="HE32" s="111">
        <v>35</v>
      </c>
      <c r="HF32" s="111">
        <v>35</v>
      </c>
      <c r="HG32" s="111" t="s">
        <v>277</v>
      </c>
      <c r="HH32" s="111" t="s">
        <v>277</v>
      </c>
      <c r="HI32" s="111" t="s">
        <v>277</v>
      </c>
      <c r="HJ32" s="111" t="s">
        <v>277</v>
      </c>
      <c r="HK32" s="111" t="s">
        <v>277</v>
      </c>
      <c r="HL32" s="111" t="s">
        <v>277</v>
      </c>
      <c r="HM32" s="111" t="s">
        <v>277</v>
      </c>
      <c r="HN32" s="111">
        <f>(HA32+(HB32*2)+HC32)/4</f>
        <v>17.5</v>
      </c>
      <c r="HO32" s="111">
        <f>AVERAGE(HA32,HB32,HC32,HE32,HF32)</f>
        <v>24</v>
      </c>
      <c r="HP32" s="111">
        <f>AVERAGE(GY32:HA32)</f>
        <v>13.333333333333334</v>
      </c>
      <c r="HQ32" s="111">
        <f>AVERAGE(HB32:HC32)</f>
        <v>20</v>
      </c>
      <c r="HR32" s="111">
        <f>AVERAGE(HD32:HF32)</f>
        <v>31.666666666666668</v>
      </c>
      <c r="HS32" s="111">
        <f>AVERAGE(HA32:HD32)</f>
        <v>18.75</v>
      </c>
      <c r="HT32" s="111">
        <v>3</v>
      </c>
      <c r="HU32" s="111">
        <f>IF(HS32&lt;=20,0,IF(HS32&lt;=40,1,IF(HS32&lt;=60,2,IF(HS32&lt;=80,3,IF(HS32&lt;=100,4,5)))))</f>
        <v>0</v>
      </c>
      <c r="HV32" s="111">
        <v>15</v>
      </c>
      <c r="HW32" s="111">
        <v>100</v>
      </c>
      <c r="HX32" s="111" t="s">
        <v>962</v>
      </c>
      <c r="HY32" s="111" t="s">
        <v>963</v>
      </c>
      <c r="HZ32" s="111"/>
      <c r="IA32" s="111"/>
      <c r="IB32" s="111"/>
      <c r="IC32" s="111"/>
      <c r="ID32" s="111"/>
      <c r="IE32" s="111"/>
      <c r="IF32" s="111"/>
      <c r="IG32" s="111"/>
      <c r="IH32" s="111"/>
      <c r="II32" s="111"/>
      <c r="IJ32" s="111"/>
      <c r="IK32" s="111"/>
      <c r="IL32" s="111"/>
      <c r="IM32" s="111"/>
      <c r="IN32" s="111"/>
      <c r="IO32" s="111"/>
      <c r="IP32" s="111"/>
      <c r="IQ32" s="111"/>
      <c r="IR32" s="111"/>
      <c r="IS32" s="111" t="s">
        <v>277</v>
      </c>
      <c r="IT32" s="111" t="s">
        <v>277</v>
      </c>
      <c r="IU32" s="111" t="s">
        <v>277</v>
      </c>
      <c r="IV32" s="111" t="s">
        <v>277</v>
      </c>
      <c r="IW32" s="111" t="s">
        <v>277</v>
      </c>
      <c r="IX32" s="111" t="s">
        <v>277</v>
      </c>
      <c r="IY32" s="111" t="s">
        <v>277</v>
      </c>
      <c r="IZ32" s="111">
        <f>(IM32+(IN32*2)+IO32)/4</f>
        <v>0</v>
      </c>
      <c r="JA32" s="111" t="e">
        <f>AVERAGE(IM32,IN32,IO32,IQ32,IR32)</f>
        <v>#DIV/0!</v>
      </c>
      <c r="JB32" s="111" t="e">
        <f>AVERAGE(IK32:IM32)</f>
        <v>#DIV/0!</v>
      </c>
      <c r="JC32" s="111" t="e">
        <f>AVERAGE(IN32:IO32)</f>
        <v>#DIV/0!</v>
      </c>
      <c r="JD32" s="111" t="e">
        <f>AVERAGE(IP32:IR32)</f>
        <v>#DIV/0!</v>
      </c>
      <c r="JE32" s="111" t="e">
        <f>AVERAGE(IM32:IP32)</f>
        <v>#DIV/0!</v>
      </c>
      <c r="JF32" s="111" t="e">
        <v>#DIV/0!</v>
      </c>
      <c r="JG32" s="111" t="e">
        <f>IF(JE32&lt;=20,0,IF(JE32&lt;=40,1,IF(JE32&lt;=60,2,IF(JE32&lt;=80,3,IF(JE32&lt;=100,4,5)))))</f>
        <v>#DIV/0!</v>
      </c>
      <c r="JH32" s="111"/>
      <c r="JI32" s="111"/>
      <c r="JJ32" s="111"/>
      <c r="JK32" s="111"/>
      <c r="JL32" s="111"/>
      <c r="JM32" s="111"/>
      <c r="JN32" s="111"/>
      <c r="JO32" s="111"/>
      <c r="JP32" s="111">
        <f>(JK32+(JL32*2)+JM32)/4</f>
        <v>0</v>
      </c>
      <c r="JQ32" s="111"/>
      <c r="JR32" s="111"/>
      <c r="JS32" s="111"/>
      <c r="JT32" s="111"/>
      <c r="JU32" s="111"/>
      <c r="JV32" s="111"/>
      <c r="JW32" s="111"/>
      <c r="JX32" s="111"/>
      <c r="JY32" s="111" t="s">
        <v>277</v>
      </c>
      <c r="JZ32" s="111" t="s">
        <v>277</v>
      </c>
      <c r="KA32" s="111" t="s">
        <v>277</v>
      </c>
      <c r="KB32" s="111" t="s">
        <v>277</v>
      </c>
      <c r="KC32" s="111" t="s">
        <v>277</v>
      </c>
      <c r="KD32" s="111" t="s">
        <v>277</v>
      </c>
      <c r="KE32" s="111" t="s">
        <v>277</v>
      </c>
      <c r="KF32" s="111">
        <f>(JS32+(JT32*2)+JU32)/4</f>
        <v>0</v>
      </c>
      <c r="KG32" s="111" t="e">
        <f>AVERAGE(JS32,JT32,JU32,JW32,JX32)</f>
        <v>#DIV/0!</v>
      </c>
      <c r="KH32" s="111" t="e">
        <f>AVERAGE(JQ32:JS32)</f>
        <v>#DIV/0!</v>
      </c>
      <c r="KI32" s="111" t="e">
        <f>AVERAGE(JT32:JU32)</f>
        <v>#DIV/0!</v>
      </c>
      <c r="KJ32" s="111" t="e">
        <f>AVERAGE(JV32:JX32)</f>
        <v>#DIV/0!</v>
      </c>
      <c r="KK32" s="111" t="e">
        <f>AVERAGE(JS32:JV32)</f>
        <v>#DIV/0!</v>
      </c>
      <c r="KL32" s="111" t="e">
        <v>#DIV/0!</v>
      </c>
      <c r="KM32" s="111" t="e">
        <f>IF(KK32&lt;=20,0,IF(KK32&lt;=40,1,IF(KK32&lt;=60,2,IF(KK32&lt;=80,3,IF(KK32&lt;=100,4,5)))))</f>
        <v>#DIV/0!</v>
      </c>
    </row>
    <row r="33" spans="1:303" s="110" customFormat="1">
      <c r="A33" s="1" t="s">
        <v>978</v>
      </c>
      <c r="B33" s="115">
        <v>63</v>
      </c>
      <c r="C33" s="115">
        <v>60</v>
      </c>
      <c r="D33" s="115">
        <v>2</v>
      </c>
      <c r="E33">
        <v>44351</v>
      </c>
      <c r="F33" s="98">
        <v>44904</v>
      </c>
      <c r="G33" s="115"/>
      <c r="H33" s="115" t="s">
        <v>115</v>
      </c>
      <c r="I33" s="98">
        <v>44952</v>
      </c>
      <c r="J33" s="1" t="s">
        <v>964</v>
      </c>
      <c r="K33" s="115" t="s">
        <v>951</v>
      </c>
      <c r="L33"/>
      <c r="M33"/>
      <c r="N33"/>
      <c r="O33" s="125">
        <v>44951</v>
      </c>
      <c r="P33" s="117">
        <f>O33-I33</f>
        <v>-1</v>
      </c>
      <c r="Q33" s="119">
        <v>2</v>
      </c>
      <c r="R33" s="119">
        <v>0</v>
      </c>
      <c r="S33"/>
      <c r="T33" s="125">
        <v>45154</v>
      </c>
      <c r="U33" s="118">
        <f>T33-I33</f>
        <v>202</v>
      </c>
      <c r="V33" s="119">
        <v>0</v>
      </c>
      <c r="W33" s="119">
        <v>0</v>
      </c>
      <c r="X33"/>
      <c r="Y33" s="116">
        <v>44944</v>
      </c>
      <c r="Z33" s="30">
        <f t="shared" si="4"/>
        <v>-8</v>
      </c>
      <c r="AA33" s="111"/>
      <c r="AB33" s="111">
        <v>5</v>
      </c>
      <c r="AC33" s="111">
        <v>15</v>
      </c>
      <c r="AD33" s="111">
        <v>15</v>
      </c>
      <c r="AE33" s="111">
        <v>20</v>
      </c>
      <c r="AF33" s="111">
        <v>30</v>
      </c>
      <c r="AG33" s="111">
        <v>35</v>
      </c>
      <c r="AH33" s="112">
        <f>(AC33+(AD33*2)+AE33)/4</f>
        <v>16.25</v>
      </c>
      <c r="AI33" s="111">
        <v>40</v>
      </c>
      <c r="AJ33" s="111">
        <v>45</v>
      </c>
      <c r="AK33" s="111">
        <v>40</v>
      </c>
      <c r="AL33" s="111">
        <v>40</v>
      </c>
      <c r="AM33" s="111">
        <v>40</v>
      </c>
      <c r="AN33" s="111">
        <v>55</v>
      </c>
      <c r="AO33" s="111">
        <v>65</v>
      </c>
      <c r="AP33" s="111">
        <v>75</v>
      </c>
      <c r="AQ33" s="113" t="s">
        <v>234</v>
      </c>
      <c r="AR33" s="113" t="s">
        <v>234</v>
      </c>
      <c r="AS33" s="113" t="s">
        <v>234</v>
      </c>
      <c r="AT33" s="113" t="s">
        <v>234</v>
      </c>
      <c r="AU33" s="113" t="s">
        <v>234</v>
      </c>
      <c r="AV33" s="113" t="s">
        <v>234</v>
      </c>
      <c r="AW33" s="113" t="s">
        <v>234</v>
      </c>
      <c r="AX33" s="112">
        <f>(AK33+(AL33*2)+AM33)/4</f>
        <v>40</v>
      </c>
      <c r="AY33" s="112">
        <f>AVERAGE(AK33,AL33,AM33,AO33,AP33)</f>
        <v>52</v>
      </c>
      <c r="AZ33" s="112">
        <f>AVERAGE(AI33:AK33)</f>
        <v>41.666666666666664</v>
      </c>
      <c r="BA33" s="112">
        <f>AVERAGE(AL33:AM33)</f>
        <v>40</v>
      </c>
      <c r="BB33" s="112">
        <f>AVERAGE(AN33:AP33)</f>
        <v>65</v>
      </c>
      <c r="BC33" s="112">
        <f>AVERAGE(AK33:AN33)</f>
        <v>43.75</v>
      </c>
      <c r="BD33" s="114">
        <v>3</v>
      </c>
      <c r="BE33" s="112">
        <f>IF(BC33&lt;=20,0,IF(BC33&lt;=40,1,IF(BC33&lt;=60,2,IF(BC33&lt;=80,3,IF(BC33&lt;=100,4,5)))))</f>
        <v>2</v>
      </c>
      <c r="BF33" s="111">
        <v>40</v>
      </c>
      <c r="BG33" s="111">
        <v>100</v>
      </c>
      <c r="BH33" s="111">
        <v>10</v>
      </c>
      <c r="BI33" s="111">
        <v>15</v>
      </c>
      <c r="BJ33" s="111">
        <v>20</v>
      </c>
      <c r="BK33" s="111">
        <v>20</v>
      </c>
      <c r="BL33" s="111">
        <v>20</v>
      </c>
      <c r="BM33" s="111">
        <v>25</v>
      </c>
      <c r="BN33" s="112">
        <f>(BI33+(BJ33*2)+BK33)/4</f>
        <v>18.75</v>
      </c>
      <c r="BO33" s="111">
        <v>15</v>
      </c>
      <c r="BP33" s="111">
        <v>10</v>
      </c>
      <c r="BQ33" s="111">
        <v>15</v>
      </c>
      <c r="BR33" s="111">
        <v>20</v>
      </c>
      <c r="BS33" s="111">
        <v>20</v>
      </c>
      <c r="BT33" s="111">
        <v>20</v>
      </c>
      <c r="BU33" s="111">
        <v>25</v>
      </c>
      <c r="BV33" s="111">
        <v>50</v>
      </c>
      <c r="BW33" s="113" t="s">
        <v>234</v>
      </c>
      <c r="BX33" s="113" t="s">
        <v>234</v>
      </c>
      <c r="BY33" s="113" t="s">
        <v>234</v>
      </c>
      <c r="BZ33" s="113" t="s">
        <v>234</v>
      </c>
      <c r="CA33" s="113" t="s">
        <v>234</v>
      </c>
      <c r="CB33" s="113" t="s">
        <v>234</v>
      </c>
      <c r="CC33" s="113" t="s">
        <v>234</v>
      </c>
      <c r="CD33" s="112">
        <f>(BQ33+(BR33*2)+BS33)/4</f>
        <v>18.75</v>
      </c>
      <c r="CE33" s="112">
        <f>AVERAGE(BQ33,BR33,BS33,BU33,BV33)</f>
        <v>26</v>
      </c>
      <c r="CF33" s="112">
        <f>AVERAGE(BO33:BQ33)</f>
        <v>13.333333333333334</v>
      </c>
      <c r="CG33" s="112">
        <f>AVERAGE(BR33:BS33)</f>
        <v>20</v>
      </c>
      <c r="CH33" s="112">
        <f>AVERAGE(BT33:BV33)</f>
        <v>31.666666666666668</v>
      </c>
      <c r="CI33" s="112">
        <f>AVERAGE(BQ33:BT33)</f>
        <v>18.75</v>
      </c>
      <c r="CJ33" s="111">
        <v>3</v>
      </c>
      <c r="CK33" s="112">
        <f>IF(CI33&lt;=20,0,IF(CI33&lt;=40,1,IF(CI33&lt;=60,2,IF(CI33&lt;=80,3,IF(CI33&lt;=100,4,5)))))</f>
        <v>0</v>
      </c>
      <c r="CL33" s="111">
        <v>20</v>
      </c>
      <c r="CM33" s="111">
        <v>100</v>
      </c>
      <c r="CN33" s="113" t="s">
        <v>745</v>
      </c>
      <c r="CO33" s="113" t="s">
        <v>746</v>
      </c>
      <c r="CP33" s="111"/>
      <c r="CQ33" s="67">
        <v>45050</v>
      </c>
      <c r="CR33" s="111"/>
      <c r="CS33" s="111"/>
      <c r="CT33" s="111">
        <v>10</v>
      </c>
      <c r="CU33" s="111">
        <v>10</v>
      </c>
      <c r="CV33" s="111">
        <v>15</v>
      </c>
      <c r="CW33" s="111">
        <v>25</v>
      </c>
      <c r="CX33" s="111">
        <v>30</v>
      </c>
      <c r="CY33" s="111">
        <v>35</v>
      </c>
      <c r="CZ33" s="112">
        <f>(CU33+(CV33*2)+CW33)/4</f>
        <v>16.25</v>
      </c>
      <c r="DA33" s="111">
        <v>20</v>
      </c>
      <c r="DB33" s="111">
        <v>20</v>
      </c>
      <c r="DC33" s="111">
        <v>25</v>
      </c>
      <c r="DD33" s="111">
        <v>25</v>
      </c>
      <c r="DE33" s="111">
        <v>30</v>
      </c>
      <c r="DF33" s="111">
        <v>40</v>
      </c>
      <c r="DG33" s="111">
        <v>55</v>
      </c>
      <c r="DH33" s="111">
        <v>85</v>
      </c>
      <c r="DI33" s="111" t="s">
        <v>277</v>
      </c>
      <c r="DJ33" s="111" t="s">
        <v>277</v>
      </c>
      <c r="DK33" s="111" t="s">
        <v>277</v>
      </c>
      <c r="DL33" s="111" t="s">
        <v>277</v>
      </c>
      <c r="DM33" s="111" t="s">
        <v>277</v>
      </c>
      <c r="DN33" s="111" t="s">
        <v>277</v>
      </c>
      <c r="DO33" s="111" t="s">
        <v>277</v>
      </c>
      <c r="DP33" s="112">
        <f>(DC33+(DD33*2)+DE33)/4</f>
        <v>26.25</v>
      </c>
      <c r="DQ33" s="112">
        <f>AVERAGE(DC33,DD33,DE33,DG33,DH33)</f>
        <v>44</v>
      </c>
      <c r="DR33" s="112">
        <f>AVERAGE(DA33:DC33)</f>
        <v>21.666666666666668</v>
      </c>
      <c r="DS33" s="112">
        <f>AVERAGE(DD33:DE33)</f>
        <v>27.5</v>
      </c>
      <c r="DT33" s="112">
        <f>AVERAGE(DF33:DH33)</f>
        <v>60</v>
      </c>
      <c r="DU33" s="112">
        <f>AVERAGE(DC33:DF33)</f>
        <v>30</v>
      </c>
      <c r="DV33" s="111">
        <v>3</v>
      </c>
      <c r="DW33" s="112">
        <f>IF(DU33&lt;=20,0,IF(DU33&lt;=40,1,IF(DU33&lt;=60,2,IF(DU33&lt;=80,3,IF(DU33&lt;=100,4,5)))))</f>
        <v>1</v>
      </c>
      <c r="DX33" s="111">
        <v>35</v>
      </c>
      <c r="DY33" s="111">
        <v>100</v>
      </c>
      <c r="DZ33" s="111">
        <v>10</v>
      </c>
      <c r="EA33" s="111">
        <v>5</v>
      </c>
      <c r="EB33" s="111">
        <v>10</v>
      </c>
      <c r="EC33" s="111">
        <v>5</v>
      </c>
      <c r="ED33" s="111">
        <v>15</v>
      </c>
      <c r="EE33" s="111">
        <v>15</v>
      </c>
      <c r="EF33" s="112">
        <f>(EA33+(EB33*2)+EC33)/4</f>
        <v>7.5</v>
      </c>
      <c r="EG33" s="111">
        <v>10</v>
      </c>
      <c r="EH33" s="111">
        <v>10</v>
      </c>
      <c r="EI33" s="111">
        <v>5</v>
      </c>
      <c r="EJ33" s="111">
        <v>10</v>
      </c>
      <c r="EK33" s="111">
        <v>5</v>
      </c>
      <c r="EL33" s="111">
        <v>15</v>
      </c>
      <c r="EM33" s="111">
        <v>15</v>
      </c>
      <c r="EN33" s="111">
        <v>40</v>
      </c>
      <c r="EO33" s="111" t="s">
        <v>277</v>
      </c>
      <c r="EP33" s="111" t="s">
        <v>277</v>
      </c>
      <c r="EQ33" s="111" t="s">
        <v>277</v>
      </c>
      <c r="ER33" s="111" t="s">
        <v>277</v>
      </c>
      <c r="ES33" s="111" t="s">
        <v>277</v>
      </c>
      <c r="ET33" s="111" t="s">
        <v>277</v>
      </c>
      <c r="EU33" s="111" t="s">
        <v>277</v>
      </c>
      <c r="EV33" s="112">
        <f>(EI33+(EJ33*2)+EK33)/4</f>
        <v>7.5</v>
      </c>
      <c r="EW33" s="112">
        <f>AVERAGE(EI33,EJ33,EK33,EM33,EN33)</f>
        <v>15</v>
      </c>
      <c r="EX33" s="112">
        <f>AVERAGE(EG33:EI33)</f>
        <v>8.3333333333333339</v>
      </c>
      <c r="EY33" s="112">
        <f>AVERAGE(EJ33:EK33)</f>
        <v>7.5</v>
      </c>
      <c r="EZ33" s="112">
        <f>AVERAGE(EL33:EN33)</f>
        <v>23.333333333333332</v>
      </c>
      <c r="FA33" s="112">
        <f>AVERAGE(EI33:EL33)</f>
        <v>8.75</v>
      </c>
      <c r="FB33" s="111">
        <v>6</v>
      </c>
      <c r="FC33" s="112">
        <f>IF(FA33&lt;=20,0,IF(FA33&lt;=40,1,IF(FA33&lt;=60,2,IF(FA33&lt;=80,3,IF(FA33&lt;=100,4,5)))))</f>
        <v>0</v>
      </c>
      <c r="FD33" s="111">
        <v>10</v>
      </c>
      <c r="FE33" s="111">
        <v>100</v>
      </c>
      <c r="FF33" s="111" t="s">
        <v>747</v>
      </c>
      <c r="FG33" s="111" t="s">
        <v>748</v>
      </c>
      <c r="FH33" s="111"/>
      <c r="FI33" s="67">
        <v>45149</v>
      </c>
      <c r="FJ33" s="30">
        <f t="shared" si="6"/>
        <v>197</v>
      </c>
      <c r="FK33" s="111"/>
      <c r="FL33" s="111">
        <v>0</v>
      </c>
      <c r="FM33" s="111">
        <v>15</v>
      </c>
      <c r="FN33" s="111">
        <v>20</v>
      </c>
      <c r="FO33" s="111">
        <v>25</v>
      </c>
      <c r="FP33" s="111">
        <v>30</v>
      </c>
      <c r="FQ33" s="111">
        <v>30</v>
      </c>
      <c r="FR33" s="112">
        <f>(FM33+(FN33*2)+FO33)/4</f>
        <v>20</v>
      </c>
      <c r="FS33" s="111">
        <v>25</v>
      </c>
      <c r="FT33" s="111">
        <v>20</v>
      </c>
      <c r="FU33" s="111">
        <v>25</v>
      </c>
      <c r="FV33" s="111">
        <v>30</v>
      </c>
      <c r="FW33" s="111">
        <v>25</v>
      </c>
      <c r="FX33" s="111">
        <v>35</v>
      </c>
      <c r="FY33" s="111">
        <v>50</v>
      </c>
      <c r="FZ33" s="111">
        <v>75</v>
      </c>
      <c r="GA33" s="111" t="s">
        <v>234</v>
      </c>
      <c r="GB33" s="111" t="s">
        <v>234</v>
      </c>
      <c r="GC33" s="111" t="s">
        <v>234</v>
      </c>
      <c r="GD33" s="111" t="s">
        <v>234</v>
      </c>
      <c r="GE33" s="111" t="s">
        <v>234</v>
      </c>
      <c r="GF33" s="111" t="s">
        <v>234</v>
      </c>
      <c r="GG33" s="111" t="s">
        <v>234</v>
      </c>
      <c r="GH33" s="112">
        <f>(FU33+(FV33*2)+FW33)/4</f>
        <v>27.5</v>
      </c>
      <c r="GI33" s="112">
        <f>AVERAGE(FU33,FV33,FW33,FY33,FZ33)</f>
        <v>41</v>
      </c>
      <c r="GJ33" s="112">
        <f>AVERAGE(FS33:FU33)</f>
        <v>23.333333333333332</v>
      </c>
      <c r="GK33" s="112">
        <f>AVERAGE(FV33:FW33)</f>
        <v>27.5</v>
      </c>
      <c r="GL33" s="112">
        <f>AVERAGE(FX33:FZ33)</f>
        <v>53.333333333333336</v>
      </c>
      <c r="GM33" s="112">
        <f>AVERAGE(FU33:FX33)</f>
        <v>28.75</v>
      </c>
      <c r="GN33" s="111">
        <v>3</v>
      </c>
      <c r="GO33" s="112">
        <f>IF(GM33&lt;=20,0,IF(GM33&lt;=40,1,IF(GM33&lt;=60,2,IF(GM33&lt;=80,3,IF(GM33&lt;=100,4,5)))))</f>
        <v>1</v>
      </c>
      <c r="GP33" s="111">
        <v>25</v>
      </c>
      <c r="GQ33" s="111">
        <v>100</v>
      </c>
      <c r="GR33" s="111">
        <v>10</v>
      </c>
      <c r="GS33" s="111">
        <v>10</v>
      </c>
      <c r="GT33" s="111">
        <v>15</v>
      </c>
      <c r="GU33" s="111">
        <v>10</v>
      </c>
      <c r="GV33" s="111">
        <v>15</v>
      </c>
      <c r="GW33" s="111">
        <v>15</v>
      </c>
      <c r="GX33" s="111">
        <f>(GS33+(GT33*2)+GU33)/4</f>
        <v>12.5</v>
      </c>
      <c r="GY33" s="111">
        <v>20</v>
      </c>
      <c r="GZ33" s="111">
        <v>15</v>
      </c>
      <c r="HA33" s="111">
        <v>10</v>
      </c>
      <c r="HB33" s="111">
        <v>15</v>
      </c>
      <c r="HC33" s="111">
        <v>10</v>
      </c>
      <c r="HD33" s="111">
        <v>15</v>
      </c>
      <c r="HE33" s="111">
        <v>20</v>
      </c>
      <c r="HF33" s="111">
        <v>35</v>
      </c>
      <c r="HG33" s="111" t="s">
        <v>277</v>
      </c>
      <c r="HH33" s="111" t="s">
        <v>277</v>
      </c>
      <c r="HI33" s="111" t="s">
        <v>277</v>
      </c>
      <c r="HJ33" s="111" t="s">
        <v>277</v>
      </c>
      <c r="HK33" s="111" t="s">
        <v>277</v>
      </c>
      <c r="HL33" s="111" t="s">
        <v>277</v>
      </c>
      <c r="HM33" s="111" t="s">
        <v>277</v>
      </c>
      <c r="HN33" s="111">
        <f>(HA33+(HB33*2)+HC33)/4</f>
        <v>12.5</v>
      </c>
      <c r="HO33" s="111">
        <f>AVERAGE(HA33,HB33,HC33,HE33,HF33)</f>
        <v>18</v>
      </c>
      <c r="HP33" s="111">
        <f>AVERAGE(GY33:HA33)</f>
        <v>15</v>
      </c>
      <c r="HQ33" s="111">
        <f>AVERAGE(HB33:HC33)</f>
        <v>12.5</v>
      </c>
      <c r="HR33" s="111">
        <f>AVERAGE(HD33:HF33)</f>
        <v>23.333333333333332</v>
      </c>
      <c r="HS33" s="111">
        <f>AVERAGE(HA33:HD33)</f>
        <v>12.5</v>
      </c>
      <c r="HT33" s="111" t="s">
        <v>235</v>
      </c>
      <c r="HU33" s="111">
        <f>IF(HS33&lt;=20,0,IF(HS33&lt;=40,1,IF(HS33&lt;=60,2,IF(HS33&lt;=80,3,IF(HS33&lt;=100,4,5)))))</f>
        <v>0</v>
      </c>
      <c r="HV33" s="111">
        <v>10</v>
      </c>
      <c r="HW33" s="111">
        <v>100</v>
      </c>
      <c r="HX33" s="111" t="s">
        <v>749</v>
      </c>
      <c r="HY33" s="111" t="s">
        <v>750</v>
      </c>
      <c r="HZ33" s="111"/>
      <c r="IA33" s="67">
        <v>45336</v>
      </c>
      <c r="IB33" s="111"/>
      <c r="IC33" s="111"/>
      <c r="ID33" s="111">
        <v>5</v>
      </c>
      <c r="IE33" s="111">
        <v>15</v>
      </c>
      <c r="IF33" s="111">
        <v>20</v>
      </c>
      <c r="IG33" s="111">
        <v>20</v>
      </c>
      <c r="IH33" s="111">
        <v>30</v>
      </c>
      <c r="II33" s="111">
        <v>30</v>
      </c>
      <c r="IJ33" s="111">
        <f>(IE33+(IF33*2)+IG33)/4</f>
        <v>18.75</v>
      </c>
      <c r="IK33" s="111">
        <v>25</v>
      </c>
      <c r="IL33" s="111">
        <v>15</v>
      </c>
      <c r="IM33" s="111">
        <v>20</v>
      </c>
      <c r="IN33" s="111">
        <v>25</v>
      </c>
      <c r="IO33" s="111">
        <v>20</v>
      </c>
      <c r="IP33" s="111">
        <v>30</v>
      </c>
      <c r="IQ33" s="111">
        <v>45</v>
      </c>
      <c r="IR33" s="111">
        <v>80</v>
      </c>
      <c r="IS33" s="111" t="s">
        <v>277</v>
      </c>
      <c r="IT33" s="111" t="s">
        <v>277</v>
      </c>
      <c r="IU33" s="111" t="s">
        <v>277</v>
      </c>
      <c r="IV33" s="111" t="s">
        <v>277</v>
      </c>
      <c r="IW33" s="111" t="s">
        <v>277</v>
      </c>
      <c r="IX33" s="111" t="s">
        <v>277</v>
      </c>
      <c r="IY33" s="111" t="s">
        <v>277</v>
      </c>
      <c r="IZ33" s="111">
        <f>(IM33+(IN33*2)+IO33)/4</f>
        <v>22.5</v>
      </c>
      <c r="JA33" s="111">
        <f>AVERAGE(IM33,IN33,IO33,IQ33,IR33)</f>
        <v>38</v>
      </c>
      <c r="JB33" s="111">
        <f>AVERAGE(IK33:IM33)</f>
        <v>20</v>
      </c>
      <c r="JC33" s="111">
        <f>AVERAGE(IN33:IO33)</f>
        <v>22.5</v>
      </c>
      <c r="JD33" s="111">
        <f>AVERAGE(IP33:IR33)</f>
        <v>51.666666666666664</v>
      </c>
      <c r="JE33" s="111">
        <f>AVERAGE(IM33:IP33)</f>
        <v>23.75</v>
      </c>
      <c r="JF33" s="111">
        <v>6</v>
      </c>
      <c r="JG33" s="111">
        <f>IF(JE33&lt;=20,0,IF(JE33&lt;=40,1,IF(JE33&lt;=60,2,IF(JE33&lt;=80,3,IF(JE33&lt;=100,4,5)))))</f>
        <v>1</v>
      </c>
      <c r="JH33" s="111">
        <v>25</v>
      </c>
      <c r="JI33" s="111">
        <v>100</v>
      </c>
      <c r="JJ33" s="111">
        <v>10</v>
      </c>
      <c r="JK33" s="111">
        <v>10</v>
      </c>
      <c r="JL33" s="111">
        <v>10</v>
      </c>
      <c r="JM33" s="111">
        <v>10</v>
      </c>
      <c r="JN33" s="111">
        <v>15</v>
      </c>
      <c r="JO33" s="111">
        <v>20</v>
      </c>
      <c r="JP33" s="111">
        <f>(JK33+(JL33*2)+JM33)/4</f>
        <v>10</v>
      </c>
      <c r="JQ33" s="111">
        <v>20</v>
      </c>
      <c r="JR33" s="111">
        <v>10</v>
      </c>
      <c r="JS33" s="111">
        <v>10</v>
      </c>
      <c r="JT33" s="111">
        <v>10</v>
      </c>
      <c r="JU33" s="111">
        <v>10</v>
      </c>
      <c r="JV33" s="111">
        <v>15</v>
      </c>
      <c r="JW33" s="111">
        <v>20</v>
      </c>
      <c r="JX33" s="111">
        <v>35</v>
      </c>
      <c r="JY33" s="111" t="s">
        <v>277</v>
      </c>
      <c r="JZ33" s="111" t="s">
        <v>277</v>
      </c>
      <c r="KA33" s="111" t="s">
        <v>277</v>
      </c>
      <c r="KB33" s="111" t="s">
        <v>277</v>
      </c>
      <c r="KC33" s="111" t="s">
        <v>277</v>
      </c>
      <c r="KD33" s="111" t="s">
        <v>277</v>
      </c>
      <c r="KE33" s="111" t="s">
        <v>277</v>
      </c>
      <c r="KF33" s="111">
        <f>(JS33+(JT33*2)+JU33)/4</f>
        <v>10</v>
      </c>
      <c r="KG33" s="111">
        <f>AVERAGE(JS33,JT33,JU33,JW33,JX33)</f>
        <v>17</v>
      </c>
      <c r="KH33" s="111">
        <f>AVERAGE(JQ33:JS33)</f>
        <v>13.333333333333334</v>
      </c>
      <c r="KI33" s="111">
        <f>AVERAGE(JT33:JU33)</f>
        <v>10</v>
      </c>
      <c r="KJ33" s="111">
        <f>AVERAGE(JV33:JX33)</f>
        <v>23.333333333333332</v>
      </c>
      <c r="KK33" s="111">
        <f>AVERAGE(JS33:JV33)</f>
        <v>11.25</v>
      </c>
      <c r="KL33" s="111" t="s">
        <v>235</v>
      </c>
      <c r="KM33" s="111">
        <f>IF(KK33&lt;=20,0,IF(KK33&lt;=40,1,IF(KK33&lt;=60,2,IF(KK33&lt;=80,3,IF(KK33&lt;=100,4,5)))))</f>
        <v>0</v>
      </c>
      <c r="KN33" s="111">
        <v>15</v>
      </c>
      <c r="KO33" s="111">
        <v>100</v>
      </c>
      <c r="KP33" s="111" t="s">
        <v>751</v>
      </c>
      <c r="KQ33" s="111" t="s">
        <v>752</v>
      </c>
    </row>
    <row r="34" spans="1:303" s="109" customFormat="1">
      <c r="A34" s="1" t="s">
        <v>979</v>
      </c>
      <c r="B34" s="100">
        <v>59</v>
      </c>
      <c r="C34" s="115">
        <v>50</v>
      </c>
      <c r="D34" s="100">
        <v>2</v>
      </c>
      <c r="E34">
        <v>44356</v>
      </c>
      <c r="F34" s="99">
        <v>44971</v>
      </c>
      <c r="H34" s="115" t="s">
        <v>115</v>
      </c>
      <c r="I34" s="99">
        <v>45008</v>
      </c>
      <c r="J34" s="1" t="s">
        <v>964</v>
      </c>
      <c r="K34" s="30" t="s">
        <v>966</v>
      </c>
      <c r="L34"/>
      <c r="M34"/>
      <c r="N34"/>
      <c r="O34" s="122">
        <v>44958</v>
      </c>
      <c r="P34" s="117">
        <f>O34-I34</f>
        <v>-50</v>
      </c>
      <c r="Q34" s="105">
        <v>4</v>
      </c>
      <c r="R34" s="105">
        <v>0</v>
      </c>
      <c r="S34"/>
      <c r="T34" s="122">
        <v>45180</v>
      </c>
      <c r="U34" s="100">
        <f>T34-I34</f>
        <v>172</v>
      </c>
      <c r="V34" s="105">
        <v>0</v>
      </c>
      <c r="W34" s="105">
        <v>0</v>
      </c>
      <c r="X34"/>
      <c r="Y34" s="92">
        <v>44977</v>
      </c>
      <c r="Z34" s="30">
        <f t="shared" si="4"/>
        <v>-31</v>
      </c>
      <c r="AB34" s="30">
        <v>20</v>
      </c>
      <c r="AC34" s="30">
        <v>35</v>
      </c>
      <c r="AD34" s="30">
        <v>15</v>
      </c>
      <c r="AE34" s="30">
        <v>25</v>
      </c>
      <c r="AF34" s="30">
        <v>25</v>
      </c>
      <c r="AG34" s="30">
        <v>60</v>
      </c>
      <c r="AH34" s="33">
        <f>(AC34+(AD34*2)+AE34)/4</f>
        <v>22.5</v>
      </c>
      <c r="AI34" s="30">
        <v>70</v>
      </c>
      <c r="AJ34" s="30">
        <v>75</v>
      </c>
      <c r="AK34" s="30">
        <v>75</v>
      </c>
      <c r="AL34" s="30">
        <v>65</v>
      </c>
      <c r="AM34" s="30">
        <v>65</v>
      </c>
      <c r="AN34" s="30">
        <v>60</v>
      </c>
      <c r="AO34" s="30">
        <v>100</v>
      </c>
      <c r="AP34" s="47">
        <v>105</v>
      </c>
      <c r="AQ34" s="31" t="s">
        <v>234</v>
      </c>
      <c r="AR34" s="31" t="s">
        <v>234</v>
      </c>
      <c r="AS34" s="31" t="s">
        <v>234</v>
      </c>
      <c r="AT34" s="31" t="s">
        <v>234</v>
      </c>
      <c r="AU34" s="31" t="s">
        <v>234</v>
      </c>
      <c r="AV34" s="31" t="s">
        <v>234</v>
      </c>
      <c r="AW34" s="31" t="s">
        <v>234</v>
      </c>
      <c r="AX34" s="33">
        <f>(AK34+(AL34*2)+AM34)/4</f>
        <v>67.5</v>
      </c>
      <c r="AY34" s="33">
        <f>AVERAGE(AK34,AL34,AM34,AO34,AP34)</f>
        <v>82</v>
      </c>
      <c r="AZ34" s="33">
        <f>AVERAGE(AI34:AK34)</f>
        <v>73.333333333333329</v>
      </c>
      <c r="BA34" s="33">
        <f>AVERAGE(AL34:AM34)</f>
        <v>65</v>
      </c>
      <c r="BB34" s="33">
        <f>AVERAGE(AN34:AP34)</f>
        <v>88.333333333333329</v>
      </c>
      <c r="BC34" s="33">
        <f>AVERAGE(AK34:AN34)</f>
        <v>66.25</v>
      </c>
      <c r="BD34" s="34">
        <v>3</v>
      </c>
      <c r="BE34" s="33">
        <f>IF(BC34&lt;=20,0,IF(BC34&lt;=40,1,IF(BC34&lt;=60,2,IF(BC34&lt;=80,3,IF(BC34&lt;=100,4,5)))))</f>
        <v>3</v>
      </c>
      <c r="BF34" s="30">
        <v>55</v>
      </c>
      <c r="BG34" s="30">
        <v>80</v>
      </c>
      <c r="BH34" s="30">
        <v>5</v>
      </c>
      <c r="BI34" s="30">
        <v>5</v>
      </c>
      <c r="BJ34" s="30">
        <v>15</v>
      </c>
      <c r="BK34" s="30">
        <v>15</v>
      </c>
      <c r="BL34" s="30">
        <v>10</v>
      </c>
      <c r="BM34" s="30">
        <v>10</v>
      </c>
      <c r="BN34" s="33">
        <f>(BI34+(BJ34*2)+BK34)/4</f>
        <v>12.5</v>
      </c>
      <c r="BO34" s="30">
        <v>10</v>
      </c>
      <c r="BP34" s="30">
        <v>10</v>
      </c>
      <c r="BQ34" s="30">
        <v>5</v>
      </c>
      <c r="BR34" s="30">
        <v>15</v>
      </c>
      <c r="BS34" s="30">
        <v>15</v>
      </c>
      <c r="BT34" s="30">
        <v>10</v>
      </c>
      <c r="BU34" s="30">
        <v>10</v>
      </c>
      <c r="BV34" s="30">
        <v>20</v>
      </c>
      <c r="BW34" s="31" t="s">
        <v>234</v>
      </c>
      <c r="BX34" s="31" t="s">
        <v>234</v>
      </c>
      <c r="BY34" s="31" t="s">
        <v>234</v>
      </c>
      <c r="BZ34" s="31" t="s">
        <v>234</v>
      </c>
      <c r="CA34" s="31" t="s">
        <v>234</v>
      </c>
      <c r="CB34" s="31" t="s">
        <v>234</v>
      </c>
      <c r="CC34" s="31" t="s">
        <v>234</v>
      </c>
      <c r="CD34" s="33">
        <f>(BQ34+(BR34*2)+BS34)/4</f>
        <v>12.5</v>
      </c>
      <c r="CE34" s="33">
        <f>AVERAGE(BQ34,BR34,BS34,BU34,BV34)</f>
        <v>13</v>
      </c>
      <c r="CF34" s="33">
        <f>AVERAGE(BO34:BQ34)</f>
        <v>8.3333333333333339</v>
      </c>
      <c r="CG34" s="33">
        <f>AVERAGE(BR34:BS34)</f>
        <v>15</v>
      </c>
      <c r="CH34" s="33">
        <f>AVERAGE(BT34:BV34)</f>
        <v>13.333333333333334</v>
      </c>
      <c r="CI34" s="33">
        <f>AVERAGE(BQ34:BT34)</f>
        <v>11.25</v>
      </c>
      <c r="CJ34" s="30">
        <v>3</v>
      </c>
      <c r="CK34" s="33">
        <f>IF(CI34&lt;=20,0,IF(CI34&lt;=40,1,IF(CI34&lt;=60,2,IF(CI34&lt;=80,3,IF(CI34&lt;=100,4,5)))))</f>
        <v>0</v>
      </c>
      <c r="CL34" s="30">
        <v>15</v>
      </c>
      <c r="CM34" s="30">
        <v>100</v>
      </c>
      <c r="CP34" s="30" t="s">
        <v>967</v>
      </c>
      <c r="CQ34" s="32">
        <v>45114</v>
      </c>
      <c r="CR34" s="30"/>
      <c r="CS34" s="30"/>
      <c r="CT34" s="30">
        <v>30</v>
      </c>
      <c r="CU34" s="30">
        <v>50</v>
      </c>
      <c r="CV34" s="30">
        <v>30</v>
      </c>
      <c r="CW34" s="30">
        <v>30</v>
      </c>
      <c r="CX34" s="30">
        <v>40</v>
      </c>
      <c r="CY34" s="30">
        <v>70</v>
      </c>
      <c r="CZ34" s="33">
        <f>(CU34+(CV34*2)+CW34)/4</f>
        <v>35</v>
      </c>
      <c r="DA34" s="30">
        <v>55</v>
      </c>
      <c r="DB34" s="30">
        <v>60</v>
      </c>
      <c r="DC34" s="30">
        <v>50</v>
      </c>
      <c r="DD34" s="30">
        <v>45</v>
      </c>
      <c r="DE34" s="30">
        <v>30</v>
      </c>
      <c r="DF34" s="30">
        <v>40</v>
      </c>
      <c r="DG34" s="30">
        <v>80</v>
      </c>
      <c r="DH34" s="30">
        <v>95</v>
      </c>
      <c r="DI34" s="30" t="s">
        <v>277</v>
      </c>
      <c r="DJ34" s="30" t="s">
        <v>277</v>
      </c>
      <c r="DK34" s="30" t="s">
        <v>277</v>
      </c>
      <c r="DL34" s="30" t="s">
        <v>277</v>
      </c>
      <c r="DM34" s="30" t="s">
        <v>277</v>
      </c>
      <c r="DN34" s="30" t="s">
        <v>277</v>
      </c>
      <c r="DO34" s="30" t="s">
        <v>277</v>
      </c>
      <c r="DP34" s="33">
        <f>(DC34+(DD34*2)+DE34)/4</f>
        <v>42.5</v>
      </c>
      <c r="DQ34" s="33">
        <f>AVERAGE(DC34,DD34,DE34,DG34,DH34)</f>
        <v>60</v>
      </c>
      <c r="DR34" s="33">
        <f>AVERAGE(DA34:DC34)</f>
        <v>55</v>
      </c>
      <c r="DS34" s="33">
        <f>AVERAGE(DD34:DE34)</f>
        <v>37.5</v>
      </c>
      <c r="DT34" s="33">
        <f>AVERAGE(DF34:DH34)</f>
        <v>71.666666666666671</v>
      </c>
      <c r="DU34" s="33">
        <f>AVERAGE(DC34:DF34)</f>
        <v>41.25</v>
      </c>
      <c r="DV34" s="30" t="s">
        <v>235</v>
      </c>
      <c r="DW34" s="33">
        <f>IF(DU34&lt;=20,0,IF(DU34&lt;=40,1,IF(DU34&lt;=60,2,IF(DU34&lt;=80,3,IF(DU34&lt;=100,4,5)))))</f>
        <v>2</v>
      </c>
      <c r="DX34" s="30">
        <v>45</v>
      </c>
      <c r="DY34" s="30">
        <v>88</v>
      </c>
      <c r="DZ34" s="30">
        <v>5</v>
      </c>
      <c r="EA34" s="30">
        <v>5</v>
      </c>
      <c r="EB34" s="30">
        <v>15</v>
      </c>
      <c r="EC34" s="30">
        <v>20</v>
      </c>
      <c r="ED34" s="30">
        <v>20</v>
      </c>
      <c r="EE34" s="30">
        <v>15</v>
      </c>
      <c r="EF34" s="33">
        <f>(EA34+(EB34*2)+EC34)/4</f>
        <v>13.75</v>
      </c>
      <c r="EG34" s="30">
        <v>10</v>
      </c>
      <c r="EH34" s="30">
        <v>5</v>
      </c>
      <c r="EI34" s="30">
        <v>5</v>
      </c>
      <c r="EJ34" s="30">
        <v>15</v>
      </c>
      <c r="EK34" s="30">
        <v>20</v>
      </c>
      <c r="EL34" s="30">
        <v>20</v>
      </c>
      <c r="EM34" s="30">
        <v>15</v>
      </c>
      <c r="EN34" s="30">
        <v>20</v>
      </c>
      <c r="EO34" s="30" t="s">
        <v>277</v>
      </c>
      <c r="EP34" s="30" t="s">
        <v>277</v>
      </c>
      <c r="EQ34" s="30" t="s">
        <v>277</v>
      </c>
      <c r="ER34" s="30" t="s">
        <v>277</v>
      </c>
      <c r="ES34" s="30" t="s">
        <v>277</v>
      </c>
      <c r="ET34" s="30" t="s">
        <v>277</v>
      </c>
      <c r="EU34" s="30" t="s">
        <v>277</v>
      </c>
      <c r="EV34" s="33">
        <f>(EI34+(EJ34*2)+EK34)/4</f>
        <v>13.75</v>
      </c>
      <c r="EW34" s="33">
        <f>AVERAGE(EI34,EJ34,EK34,EM34,EN34)</f>
        <v>15</v>
      </c>
      <c r="EX34" s="33">
        <f>AVERAGE(EG34:EI34)</f>
        <v>6.666666666666667</v>
      </c>
      <c r="EY34" s="33">
        <f>AVERAGE(EJ34:EK34)</f>
        <v>17.5</v>
      </c>
      <c r="EZ34" s="33">
        <f>AVERAGE(EL34:EN34)</f>
        <v>18.333333333333332</v>
      </c>
      <c r="FA34" s="33">
        <f>AVERAGE(EI34:EL34)</f>
        <v>15</v>
      </c>
      <c r="FB34" s="30">
        <v>4</v>
      </c>
      <c r="FC34" s="33">
        <f>IF(FA34&lt;=20,0,IF(FA34&lt;=40,1,IF(FA34&lt;=60,2,IF(FA34&lt;=80,3,IF(FA34&lt;=100,4,5)))))</f>
        <v>0</v>
      </c>
      <c r="FD34" s="30">
        <v>15</v>
      </c>
      <c r="FE34" s="30">
        <v>100</v>
      </c>
      <c r="FF34" s="30" t="s">
        <v>968</v>
      </c>
      <c r="FG34" s="30" t="s">
        <v>969</v>
      </c>
      <c r="FH34" s="30"/>
      <c r="FI34" s="32">
        <v>45247</v>
      </c>
      <c r="FJ34" s="30"/>
      <c r="FK34" s="30"/>
      <c r="FL34" s="30">
        <v>25</v>
      </c>
      <c r="FM34" s="30">
        <v>45</v>
      </c>
      <c r="FN34" s="30">
        <v>35</v>
      </c>
      <c r="FO34" s="30">
        <v>25</v>
      </c>
      <c r="FP34" s="30">
        <v>40</v>
      </c>
      <c r="FQ34" s="30">
        <v>75</v>
      </c>
      <c r="FR34" s="33">
        <f>(FM34+(FN34*2)+FO34)/4</f>
        <v>35</v>
      </c>
      <c r="FS34" s="30">
        <v>45</v>
      </c>
      <c r="FT34" s="30">
        <v>50</v>
      </c>
      <c r="FU34" s="30">
        <v>45</v>
      </c>
      <c r="FV34" s="30">
        <v>40</v>
      </c>
      <c r="FW34" s="30">
        <v>25</v>
      </c>
      <c r="FX34" s="30">
        <v>40</v>
      </c>
      <c r="FY34" s="30">
        <v>75</v>
      </c>
      <c r="FZ34" s="30">
        <v>105</v>
      </c>
      <c r="GA34" s="30" t="s">
        <v>234</v>
      </c>
      <c r="GB34" s="30" t="s">
        <v>234</v>
      </c>
      <c r="GC34" s="30" t="s">
        <v>234</v>
      </c>
      <c r="GD34" s="30" t="s">
        <v>234</v>
      </c>
      <c r="GE34" s="30" t="s">
        <v>234</v>
      </c>
      <c r="GF34" s="30" t="s">
        <v>234</v>
      </c>
      <c r="GG34" s="30" t="s">
        <v>234</v>
      </c>
      <c r="GH34" s="33">
        <f>(FU34+(FV34*2)+FW34)/4</f>
        <v>37.5</v>
      </c>
      <c r="GI34" s="33">
        <f>AVERAGE(FU34,FV34,FW34,FY34,FZ34)</f>
        <v>58</v>
      </c>
      <c r="GJ34" s="33">
        <f>AVERAGE(FS34:FU34)</f>
        <v>46.666666666666664</v>
      </c>
      <c r="GK34" s="33">
        <f>AVERAGE(FV34:FW34)</f>
        <v>32.5</v>
      </c>
      <c r="GL34" s="33">
        <f>AVERAGE(FX34:FZ34)</f>
        <v>73.333333333333329</v>
      </c>
      <c r="GM34" s="33">
        <f>AVERAGE(FU34:FX34)</f>
        <v>37.5</v>
      </c>
      <c r="GN34" s="30" t="s">
        <v>235</v>
      </c>
      <c r="GO34" s="33">
        <f>IF(GM34&lt;=20,0,IF(GM34&lt;=40,1,IF(GM34&lt;=60,2,IF(GM34&lt;=80,3,IF(GM34&lt;=100,4,5)))))</f>
        <v>1</v>
      </c>
      <c r="GP34" s="30">
        <v>35</v>
      </c>
      <c r="GQ34" s="30">
        <v>92</v>
      </c>
      <c r="GR34" s="30">
        <v>5</v>
      </c>
      <c r="GS34" s="30">
        <v>5</v>
      </c>
      <c r="GT34" s="30">
        <v>15</v>
      </c>
      <c r="GU34" s="30">
        <v>15</v>
      </c>
      <c r="GV34" s="30">
        <v>10</v>
      </c>
      <c r="GW34" s="30">
        <v>10</v>
      </c>
      <c r="GX34" s="30">
        <f>(GS34+(GT34*2)+GU34)/4</f>
        <v>12.5</v>
      </c>
      <c r="GY34" s="30">
        <v>15</v>
      </c>
      <c r="GZ34" s="30">
        <v>10</v>
      </c>
      <c r="HA34" s="30">
        <v>5</v>
      </c>
      <c r="HB34" s="30">
        <v>15</v>
      </c>
      <c r="HC34" s="30">
        <v>15</v>
      </c>
      <c r="HD34" s="30">
        <v>10</v>
      </c>
      <c r="HE34" s="30">
        <v>10</v>
      </c>
      <c r="HF34" s="30">
        <v>20</v>
      </c>
      <c r="HG34" s="30" t="s">
        <v>277</v>
      </c>
      <c r="HH34" s="30" t="s">
        <v>277</v>
      </c>
      <c r="HI34" s="30" t="s">
        <v>277</v>
      </c>
      <c r="HJ34" s="30" t="s">
        <v>277</v>
      </c>
      <c r="HK34" s="30" t="s">
        <v>277</v>
      </c>
      <c r="HL34" s="30" t="s">
        <v>277</v>
      </c>
      <c r="HM34" s="30" t="s">
        <v>277</v>
      </c>
      <c r="HN34" s="30">
        <f>(HA34+(HB34*2)+HC34)/4</f>
        <v>12.5</v>
      </c>
      <c r="HO34" s="30">
        <f>AVERAGE(HA34,HB34,HC34,HE34,HF34)</f>
        <v>13</v>
      </c>
      <c r="HP34" s="30">
        <f>AVERAGE(GY34:HA34)</f>
        <v>10</v>
      </c>
      <c r="HQ34" s="30">
        <f>AVERAGE(HB34:HC34)</f>
        <v>15</v>
      </c>
      <c r="HR34" s="30">
        <f>AVERAGE(HD34:HF34)</f>
        <v>13.333333333333334</v>
      </c>
      <c r="HS34" s="30">
        <f>AVERAGE(HA34:HD34)</f>
        <v>11.25</v>
      </c>
      <c r="HT34" s="30"/>
      <c r="HU34" s="30">
        <v>4</v>
      </c>
      <c r="HV34" s="30">
        <f>IF(HS34&lt;=20,0,IF(HS34&lt;=40,1,IF(HS34&lt;=60,2,IF(HS34&lt;=80,3,IF(HS34&lt;=100,4,5)))))</f>
        <v>0</v>
      </c>
      <c r="HW34" s="30">
        <v>15</v>
      </c>
      <c r="HX34" s="30">
        <v>100</v>
      </c>
      <c r="HY34" s="30" t="s">
        <v>970</v>
      </c>
      <c r="HZ34" s="30" t="s">
        <v>971</v>
      </c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>
        <f>(IF34+(IG34*2)+IH34)/4</f>
        <v>0</v>
      </c>
      <c r="IL34" s="30"/>
      <c r="IM34" s="30"/>
      <c r="IN34" s="30"/>
      <c r="IO34" s="30"/>
      <c r="IP34" s="30"/>
      <c r="IQ34" s="30"/>
      <c r="IR34" s="30"/>
      <c r="IS34" s="30"/>
      <c r="IT34" s="30" t="s">
        <v>277</v>
      </c>
      <c r="IU34" s="30" t="s">
        <v>277</v>
      </c>
      <c r="IV34" s="30" t="s">
        <v>277</v>
      </c>
      <c r="IW34" s="30" t="s">
        <v>277</v>
      </c>
      <c r="IX34" s="30" t="s">
        <v>277</v>
      </c>
      <c r="IY34" s="30" t="s">
        <v>277</v>
      </c>
      <c r="IZ34" s="30" t="s">
        <v>277</v>
      </c>
      <c r="JA34" s="30">
        <f>(IN34+(IO34*2)+IP34)/4</f>
        <v>0</v>
      </c>
      <c r="JB34" s="30" t="e">
        <f>AVERAGE(IN34,IO34,IP34,IR34,IS34)</f>
        <v>#DIV/0!</v>
      </c>
      <c r="JC34" s="30" t="e">
        <f>AVERAGE(IL34:IN34)</f>
        <v>#DIV/0!</v>
      </c>
      <c r="JD34" s="30" t="e">
        <f>AVERAGE(IO34:IP34)</f>
        <v>#DIV/0!</v>
      </c>
      <c r="JE34" s="30" t="e">
        <f>AVERAGE(IQ34:IS34)</f>
        <v>#DIV/0!</v>
      </c>
      <c r="JF34" s="30" t="e">
        <f>AVERAGE(IN34:IQ34)</f>
        <v>#DIV/0!</v>
      </c>
      <c r="JG34" s="30" t="e">
        <v>#DIV/0!</v>
      </c>
      <c r="JH34" s="30" t="e">
        <f>IF(JF34&lt;=20,0,IF(JF34&lt;=40,1,IF(JF34&lt;=60,2,IF(JF34&lt;=80,3,IF(JF34&lt;=100,4,5)))))</f>
        <v>#DIV/0!</v>
      </c>
      <c r="JI34" s="30"/>
      <c r="JJ34" s="30"/>
      <c r="JK34" s="30"/>
      <c r="JL34" s="30"/>
      <c r="JM34" s="30"/>
      <c r="JN34" s="30"/>
      <c r="JO34" s="30"/>
      <c r="JP34" s="30"/>
      <c r="JQ34" s="30">
        <f>(JL34+(JM34*2)+JN34)/4</f>
        <v>0</v>
      </c>
      <c r="JR34" s="30"/>
      <c r="JS34" s="30"/>
      <c r="JT34" s="30"/>
      <c r="JU34" s="30"/>
      <c r="JV34" s="30"/>
      <c r="JW34" s="30"/>
      <c r="JX34" s="30"/>
      <c r="JY34" s="30"/>
      <c r="JZ34" s="30" t="s">
        <v>277</v>
      </c>
      <c r="KA34" s="30" t="s">
        <v>277</v>
      </c>
      <c r="KB34" s="30" t="s">
        <v>277</v>
      </c>
      <c r="KC34" s="30" t="s">
        <v>277</v>
      </c>
      <c r="KD34" s="30" t="s">
        <v>277</v>
      </c>
      <c r="KE34" s="30" t="s">
        <v>277</v>
      </c>
      <c r="KF34" s="30" t="s">
        <v>277</v>
      </c>
      <c r="KG34" s="30">
        <f>(JT34+(JU34*2)+JV34)/4</f>
        <v>0</v>
      </c>
      <c r="KH34" s="30" t="e">
        <f>AVERAGE(JT34,JU34,JV34,JX34,JY34)</f>
        <v>#DIV/0!</v>
      </c>
      <c r="KI34" s="30" t="e">
        <f>AVERAGE(JR34:JT34)</f>
        <v>#DIV/0!</v>
      </c>
      <c r="KJ34" s="30" t="e">
        <f>AVERAGE(JU34:JV34)</f>
        <v>#DIV/0!</v>
      </c>
      <c r="KK34" s="30" t="e">
        <f>AVERAGE(JW34:JY34)</f>
        <v>#DIV/0!</v>
      </c>
      <c r="KL34" s="30" t="e">
        <f>AVERAGE(JT34:JW34)</f>
        <v>#DIV/0!</v>
      </c>
      <c r="KM34" s="30" t="e">
        <v>#DIV/0!</v>
      </c>
      <c r="KN34" s="30" t="e">
        <f>IF(KL34&lt;=20,0,IF(KL34&lt;=40,1,IF(KL34&lt;=60,2,IF(KL34&lt;=80,3,IF(KL34&lt;=100,4,5)))))</f>
        <v>#DIV/0!</v>
      </c>
    </row>
    <row r="35" spans="1:303" s="109" customFormat="1">
      <c r="E35"/>
      <c r="L35"/>
      <c r="M35"/>
      <c r="N35"/>
      <c r="Q35" s="107"/>
      <c r="R35" s="107"/>
      <c r="S35"/>
      <c r="V35" s="107"/>
      <c r="W35" s="107"/>
      <c r="X35"/>
      <c r="IC35" s="108"/>
    </row>
    <row r="36" spans="1:303" s="109" customFormat="1">
      <c r="E36"/>
      <c r="L36"/>
      <c r="M36"/>
      <c r="N36"/>
      <c r="Q36" s="107"/>
      <c r="R36" s="107"/>
      <c r="S36"/>
      <c r="V36" s="107"/>
      <c r="W36" s="107"/>
      <c r="X36"/>
      <c r="IC36" s="108"/>
    </row>
    <row r="37" spans="1:303" s="109" customFormat="1">
      <c r="E37"/>
      <c r="L37"/>
      <c r="M37"/>
      <c r="N37"/>
      <c r="Q37" s="107"/>
      <c r="R37" s="107"/>
      <c r="S37"/>
      <c r="V37" s="107"/>
      <c r="W37" s="107"/>
      <c r="X37"/>
      <c r="IC37" s="108"/>
    </row>
    <row r="38" spans="1:303" s="109" customFormat="1">
      <c r="E38"/>
      <c r="L38"/>
      <c r="M38"/>
      <c r="N38"/>
      <c r="Q38" s="107"/>
      <c r="R38" s="107"/>
      <c r="S38"/>
      <c r="V38" s="107"/>
      <c r="W38" s="107"/>
      <c r="X38"/>
      <c r="IC38" s="108"/>
    </row>
    <row r="39" spans="1:303" s="109" customFormat="1">
      <c r="E39"/>
      <c r="L39"/>
      <c r="M39"/>
      <c r="N39"/>
      <c r="Q39" s="107"/>
      <c r="R39" s="107"/>
      <c r="S39"/>
      <c r="V39" s="107"/>
      <c r="W39" s="107"/>
      <c r="X39"/>
      <c r="IC39" s="108"/>
    </row>
    <row r="40" spans="1:303" s="109" customFormat="1">
      <c r="E40"/>
      <c r="L40"/>
      <c r="M40"/>
      <c r="N40"/>
      <c r="Q40" s="107"/>
      <c r="R40" s="107"/>
      <c r="S40"/>
      <c r="V40" s="107"/>
      <c r="W40" s="107"/>
      <c r="X40"/>
      <c r="IC40" s="108"/>
    </row>
    <row r="41" spans="1:303" s="109" customFormat="1">
      <c r="E41"/>
      <c r="L41"/>
      <c r="M41"/>
      <c r="N41"/>
      <c r="Q41" s="107"/>
      <c r="R41" s="107"/>
      <c r="S41"/>
      <c r="V41" s="107"/>
      <c r="W41" s="107"/>
      <c r="X41"/>
      <c r="IC41" s="108"/>
    </row>
    <row r="42" spans="1:303" s="109" customFormat="1">
      <c r="E42"/>
      <c r="L42"/>
      <c r="M42"/>
      <c r="N42"/>
      <c r="Q42" s="107"/>
      <c r="R42" s="107"/>
      <c r="S42"/>
      <c r="V42" s="108"/>
      <c r="W42" s="107"/>
      <c r="X42"/>
      <c r="IC42" s="108"/>
    </row>
    <row r="43" spans="1:303" s="109" customFormat="1">
      <c r="E43"/>
      <c r="L43"/>
      <c r="M43"/>
      <c r="N43"/>
      <c r="S43"/>
      <c r="W43" s="107"/>
      <c r="X43"/>
      <c r="IC43" s="108"/>
    </row>
    <row r="44" spans="1:303" s="109" customFormat="1">
      <c r="E44"/>
      <c r="L44"/>
      <c r="M44"/>
      <c r="N44"/>
      <c r="S44"/>
      <c r="W44" s="107"/>
      <c r="X44"/>
      <c r="IC44" s="108"/>
    </row>
    <row r="45" spans="1:303" s="109" customFormat="1">
      <c r="E45"/>
      <c r="L45"/>
      <c r="M45"/>
      <c r="N45"/>
      <c r="S45"/>
      <c r="W45" s="107"/>
      <c r="X45"/>
      <c r="IC45" s="108"/>
    </row>
    <row r="46" spans="1:303" s="109" customFormat="1">
      <c r="E46"/>
      <c r="L46"/>
      <c r="M46"/>
      <c r="N46"/>
      <c r="S46"/>
      <c r="W46" s="107"/>
      <c r="X46"/>
      <c r="IC46" s="108"/>
    </row>
    <row r="47" spans="1:303" s="109" customFormat="1">
      <c r="E47"/>
      <c r="L47"/>
      <c r="M47"/>
      <c r="N47"/>
      <c r="S47"/>
      <c r="W47" s="107"/>
      <c r="X47"/>
      <c r="IC47" s="108"/>
    </row>
    <row r="48" spans="1:303">
      <c r="W48" s="107"/>
    </row>
    <row r="49" spans="23:23">
      <c r="W49" s="107"/>
    </row>
    <row r="50" spans="23:23">
      <c r="W50" s="107"/>
    </row>
    <row r="51" spans="23:23">
      <c r="W51" s="107"/>
    </row>
    <row r="52" spans="23:23">
      <c r="W52" s="107"/>
    </row>
    <row r="53" spans="23:23">
      <c r="W53" s="107"/>
    </row>
  </sheetData>
  <autoFilter ref="A4:KS30" xr:uid="{A642943B-5459-492A-A314-613ADDAD7D09}">
    <filterColumn colId="10">
      <filters>
        <filter val="[L]ICW; [L]T1(overunderlay)(endoscopy-assisted)"/>
        <filter val="[L]T1(overunderlay)(endoscopy-assisted)"/>
        <filter val="[L]T1(overunderlay)(umbo-anchoring)(endoscopy-assisted)"/>
        <filter val="[L]T1(overunderlay, umbo-anchoring)(endoscopy-assisted)"/>
        <filter val="[L]Tympanoplasty(overlay)(endoscopy-assisted)(rev.)"/>
        <filter val="L]T1(overunderlay)(endoscopy-assisted)"/>
      </filters>
    </filterColumn>
    <filterColumn colId="86">
      <filters>
        <filter val="26.25"/>
        <filter val="27.5"/>
        <filter val="28.75"/>
        <filter val="37.5"/>
        <filter val="42.5"/>
        <filter val="45"/>
        <filter val="47.5"/>
        <filter val="51.25"/>
        <filter val="52.5"/>
        <filter val="68.75"/>
      </filters>
    </filterColumn>
    <filterColumn colId="226">
      <filters>
        <filter val="20"/>
        <filter val="26.25"/>
        <filter val="27.5"/>
        <filter val="28.75"/>
        <filter val="31.25"/>
        <filter val="32.5"/>
        <filter val="42.5"/>
        <filter val="48.75"/>
        <filter val="70"/>
      </filters>
    </filterColumn>
    <filterColumn colId="227">
      <filters>
        <filter val="-10"/>
        <filter val="-16.25"/>
        <filter val="-20"/>
      </filters>
    </filterColumn>
    <sortState xmlns:xlrd2="http://schemas.microsoft.com/office/spreadsheetml/2017/richdata2" ref="A12:KS34">
      <sortCondition ref="A4:A30"/>
    </sortState>
  </autoFilter>
  <mergeCells count="95">
    <mergeCell ref="KO2:KO3"/>
    <mergeCell ref="KP2:KP3"/>
    <mergeCell ref="KQ2:KS2"/>
    <mergeCell ref="KI2:KI3"/>
    <mergeCell ref="KJ2:KJ3"/>
    <mergeCell ref="KK2:KK3"/>
    <mergeCell ref="KL2:KL3"/>
    <mergeCell ref="KM2:KM3"/>
    <mergeCell ref="KN2:KN3"/>
    <mergeCell ref="KH2:KH3"/>
    <mergeCell ref="JB2:JB3"/>
    <mergeCell ref="JC2:JC3"/>
    <mergeCell ref="JD2:JD3"/>
    <mergeCell ref="JE2:JE3"/>
    <mergeCell ref="JF2:JF3"/>
    <mergeCell ref="JG2:JG3"/>
    <mergeCell ref="JH2:JH3"/>
    <mergeCell ref="JI2:JI3"/>
    <mergeCell ref="JJ2:JJ3"/>
    <mergeCell ref="JQ2:JQ3"/>
    <mergeCell ref="KG2:KG3"/>
    <mergeCell ref="JA2:JA3"/>
    <mergeCell ref="HO2:HO3"/>
    <mergeCell ref="HP2:HP3"/>
    <mergeCell ref="HQ2:HQ3"/>
    <mergeCell ref="HR2:HR3"/>
    <mergeCell ref="HS2:HS3"/>
    <mergeCell ref="HU2:HU3"/>
    <mergeCell ref="HV2:HV3"/>
    <mergeCell ref="HW2:HW3"/>
    <mergeCell ref="HX2:HX3"/>
    <mergeCell ref="HY2:IA2"/>
    <mergeCell ref="IK2:IK3"/>
    <mergeCell ref="HN2:HN3"/>
    <mergeCell ref="GH2:GH3"/>
    <mergeCell ref="GI2:GI3"/>
    <mergeCell ref="GJ2:GJ3"/>
    <mergeCell ref="GK2:GK3"/>
    <mergeCell ref="GL2:GL3"/>
    <mergeCell ref="GM2:GM3"/>
    <mergeCell ref="GN2:GN3"/>
    <mergeCell ref="GO2:GO3"/>
    <mergeCell ref="GP2:GP3"/>
    <mergeCell ref="GQ2:GQ3"/>
    <mergeCell ref="GX2:GX3"/>
    <mergeCell ref="FR2:FR3"/>
    <mergeCell ref="EV2:EV3"/>
    <mergeCell ref="EW2:EW3"/>
    <mergeCell ref="EX2:EX3"/>
    <mergeCell ref="EY2:EY3"/>
    <mergeCell ref="EZ2:EZ3"/>
    <mergeCell ref="FA2:FA3"/>
    <mergeCell ref="FB2:FB3"/>
    <mergeCell ref="FC2:FC3"/>
    <mergeCell ref="FD2:FD3"/>
    <mergeCell ref="FE2:FE3"/>
    <mergeCell ref="FF2:FH2"/>
    <mergeCell ref="EF2:EF3"/>
    <mergeCell ref="CZ2:CZ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CN2:CP2"/>
    <mergeCell ref="BN2:BN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Q4:R4"/>
    <mergeCell ref="V4:W4"/>
    <mergeCell ref="BG2:BG3"/>
    <mergeCell ref="O2:X2"/>
    <mergeCell ref="AH2:AH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고대공대_CWD</vt:lpstr>
      <vt:lpstr>고대공대_ICW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kumc</dc:creator>
  <cp:lastModifiedBy>은지 장</cp:lastModifiedBy>
  <cp:lastPrinted>2025-06-25T03:56:45Z</cp:lastPrinted>
  <dcterms:created xsi:type="dcterms:W3CDTF">2021-12-28T05:14:37Z</dcterms:created>
  <dcterms:modified xsi:type="dcterms:W3CDTF">2025-11-14T03:52:52Z</dcterms:modified>
</cp:coreProperties>
</file>